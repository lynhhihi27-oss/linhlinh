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cases" sheetId="1" state="visible" r:id="rId3"/>
    <sheet name="Tổng hợp" sheetId="2" state="visible" r:id="rId4"/>
    <sheet name="Danh sách lỗi" sheetId="3" state="visible" r:id="rId5"/>
    <sheet name="Chi tiết lần chạy" sheetId="4" state="visible" r:id="rId6"/>
  </sheets>
  <definedNames>
    <definedName function="false" hidden="true" localSheetId="3" name="_xlnm._FilterDatabase" vbProcedure="false">'Chi tiết lần chạy'!$A$1:$I$160</definedName>
    <definedName function="false" hidden="true" localSheetId="2" name="_xlnm._FilterDatabase" vbProcedure="false">'Danh sách lỗi'!$A$1:$I$35</definedName>
    <definedName function="false" hidden="true" localSheetId="0" name="_xlnm._FilterDatabase" vbProcedure="false">'Test cases'!$A$1:$K$46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<sst xmlns="http://schemas.openxmlformats.org/spreadsheetml/2006/main" count="1870" uniqueCount="916">
  <si>
    <t xml:space="preserve">Mã TC</t>
  </si>
  <si>
    <t xml:space="preserve">Module</t>
  </si>
  <si>
    <t xml:space="preserve">Use case</t>
  </si>
  <si>
    <t xml:space="preserve">Tiêu đề</t>
  </si>
  <si>
    <t xml:space="preserve">Tiền điều kiện</t>
  </si>
  <si>
    <t xml:space="preserve">Các bước thực hiện</t>
  </si>
  <si>
    <t xml:space="preserve">Dữ liệu kiểm thử</t>
  </si>
  <si>
    <t xml:space="preserve">Kết quả mong đợi</t>
  </si>
  <si>
    <t xml:space="preserve">Mức độ</t>
  </si>
  <si>
    <t xml:space="preserve">Trạng thái</t>
  </si>
  <si>
    <t xml:space="preserve">Ghi chú</t>
  </si>
  <si>
    <t xml:space="preserve">TC-001</t>
  </si>
  <si>
    <t xml:space="preserve">Tài khoản</t>
  </si>
  <si>
    <t xml:space="preserve">UC-03</t>
  </si>
  <si>
    <t xml:space="preserve">Đăng ký thành công</t>
  </si>
  <si>
    <t xml:space="preserve">Chưa có tài khoản</t>
  </si>
  <si>
    <t xml:space="preserve">1. Mở Đăng ký 2. Nhập thông tin hợp lệ 3. Nhập OTP đúng</t>
  </si>
  <si>
    <t xml:space="preserve">Email mới, SĐT mới, năm sinh 2005</t>
  </si>
  <si>
    <t xml:space="preserve">Tạo tài khoản VIEWER, số dư 0 xu, đăng nhập tự động</t>
  </si>
  <si>
    <t xml:space="preserve">Cao</t>
  </si>
  <si>
    <t xml:space="preserve">Đạt</t>
  </si>
  <si>
    <t xml:space="preserve">Đạt ở mức API: tạo tài khoản VIEWER, ACTIVE, số dư 0 xu. Lưu ý: ứng dụng chưa có bước OTP nên bước 3 của TC không thực hiện được (xem BUG-21); “đăng nhập tự động” thuộc giao diện nên chưa kiểm tra.
Test: tests/01-auth.test.mjs (tìm “TC-001”)</t>
  </si>
  <si>
    <t xml:space="preserve">TC-002</t>
  </si>
  <si>
    <t xml:space="preserve">Đăng ký trùng email</t>
  </si>
  <si>
    <t xml:space="preserve">Email đã tồn tại</t>
  </si>
  <si>
    <t xml:space="preserve">Đăng ký với email đã dùng</t>
  </si>
  <si>
    <t xml:space="preserve">Email trùng</t>
  </si>
  <si>
    <t xml:space="preserve">Báo “Thông tin này đã được dùng cho một tài khoản khác”</t>
  </si>
  <si>
    <t xml:space="preserve">Đạt: đăng ký trùng email bị từ chối, không tạo thêm tài khoản. Chữ trong thông báo khác câu mẫu của TC nhưng cùng ý. HTTP 400 (API-01 ghi 409, xem BUG-33).
Test: tests/01-auth.test.mjs (tìm “TC-002”)</t>
  </si>
  <si>
    <t xml:space="preserve">TC-003</t>
  </si>
  <si>
    <t xml:space="preserve">Đăng ký trùng số điện thoại</t>
  </si>
  <si>
    <t xml:space="preserve">SĐT đã tồn tại</t>
  </si>
  <si>
    <t xml:space="preserve">Đăng ký với SĐT đã dùng</t>
  </si>
  <si>
    <t xml:space="preserve">SĐT trùng</t>
  </si>
  <si>
    <t xml:space="preserve">Báo trùng, không tạo tài khoản</t>
  </si>
  <si>
    <t xml:space="preserve">Đạt: đăng ký trùng số điện thoại bị từ chối, không tạo tài khoản. HTTP 400 (API-01 ghi 409, xem BUG-33).
Test: tests/01-auth.test.mjs (tìm “TC-003”)</t>
  </si>
  <si>
    <t xml:space="preserve">TC-004</t>
  </si>
  <si>
    <t xml:space="preserve">Dưới 16 tuổi</t>
  </si>
  <si>
    <t xml:space="preserve">—</t>
  </si>
  <si>
    <t xml:space="preserve">Đăng ký với năm sinh khiến dưới 16 tuổi</t>
  </si>
  <si>
    <t xml:space="preserve">Năm sinh 2015</t>
  </si>
  <si>
    <t xml:space="preserve">Từ chối đăng ký</t>
  </si>
  <si>
    <t xml:space="preserve">Trung bình</t>
  </si>
  <si>
    <t xml:space="preserve">Đạt: năm sinh 2015 bị từ chối, không tạo tài khoản; biên 15/16 tuổi cũng đúng (EXT-02). Lưu ý: bỏ trống năm sinh thì qua mặt được kiểm tra này (BUG-28).
Test: tests/01-auth.test.mjs (tìm “TC-004”)</t>
  </si>
  <si>
    <t xml:space="preserve">TC-005</t>
  </si>
  <si>
    <t xml:space="preserve">OTP sai 3 lần</t>
  </si>
  <si>
    <t xml:space="preserve">Đang ở bước OTP</t>
  </si>
  <si>
    <t xml:space="preserve">Nhập sai OTP 3 lần</t>
  </si>
  <si>
    <t xml:space="preserve">OTP 000000</t>
  </si>
  <si>
    <t xml:space="preserve">Yêu cầu gửi OTP mới</t>
  </si>
  <si>
    <t xml:space="preserve">Không đạt</t>
  </si>
  <si>
    <t xml:space="preserve">Chưa cài đặt: không có endpoint xác thực OTP (/auth/verify-otp); đăng ký tạo tài khoản ngay không qua OTP nên không có cơ chế “sai 3 lần thì gửi OTP mới”.
Lỗi: BUG-21
Test: tests/01-auth.test.mjs (tìm “TC-005”)</t>
  </si>
  <si>
    <t xml:space="preserve">TC-006</t>
  </si>
  <si>
    <t xml:space="preserve">OTP hết hạn</t>
  </si>
  <si>
    <t xml:space="preserve">Đã gửi OTP</t>
  </si>
  <si>
    <t xml:space="preserve">Chờ quá 5 phút rồi nhập OTP đúng</t>
  </si>
  <si>
    <t xml:space="preserve">Báo OTP hết hạn</t>
  </si>
  <si>
    <t xml:space="preserve">Chưa cài đặt: không có OTP nên không có OTP để hết hạn sau 5 phút.
Lỗi: BUG-21
Test: tests/01-auth.test.mjs (tìm “TC-006”)</t>
  </si>
  <si>
    <t xml:space="preserve">TC-007</t>
  </si>
  <si>
    <t xml:space="preserve">UC-G04</t>
  </si>
  <si>
    <t xml:space="preserve">Đăng nhập tài khoản bị khóa</t>
  </si>
  <si>
    <t xml:space="preserve">Tài khoản LOCKED</t>
  </si>
  <si>
    <t xml:space="preserve">Đăng nhập</t>
  </si>
  <si>
    <t xml:space="preserve">Từ chối, hiển thị tài khoản bị khóa</t>
  </si>
  <si>
    <t xml:space="preserve">Đăng nhập tài khoản LOCKED trả HTTP 200, success = true và trả cả dữ liệu người dùng; chỉ đổi câu thông báo (API-01 yêu cầu 403).
Lỗi: BUG-07
Test: tests/01-auth.test.mjs (tìm “TC-007”)</t>
  </si>
  <si>
    <t xml:space="preserve">TC-008</t>
  </si>
  <si>
    <t xml:space="preserve">Xem QC</t>
  </si>
  <si>
    <t xml:space="preserve">UC-V01</t>
  </si>
  <si>
    <t xml:space="preserve">Chỉ hiện quảng cáo ACTIVE còn ngân sách</t>
  </si>
  <si>
    <t xml:space="preserve">Có quảng cáo ACTIVE, PAUSED, ENDED</t>
  </si>
  <si>
    <t xml:space="preserve">Mở danh sách quảng cáo</t>
  </si>
  <si>
    <t xml:space="preserve">Đạt: danh sách chỉ gồm QC ACTIVE, còn ngân sách và trong khoảng ngày chạy; QC PENDING/PAUSED/ENDED/REJECTED, hết ngân sách, hết hạn hoặc chưa tới ngày đều không hiện.
Test: tests/02-ads-list.test.mjs (tìm “TC-008”)</t>
  </si>
  <si>
    <t xml:space="preserve">TC-009</t>
  </si>
  <si>
    <t xml:space="preserve">Lọc theo đối tượng mục tiêu</t>
  </si>
  <si>
    <t xml:space="preserve">QC chỉ cho nữ 18–24 Hà Nội</t>
  </si>
  <si>
    <t xml:space="preserve">Đăng nhập bằng nam 30 tuổi và xem danh sách</t>
  </si>
  <si>
    <t xml:space="preserve">Viewer nam</t>
  </si>
  <si>
    <t xml:space="preserve">Không thấy quảng cáo đó</t>
  </si>
  <si>
    <t xml:space="preserve">Nam 30 tuổi vẫn thấy QC nhắm nữ 18–24 tuổi Hà Nội (người đúng đối tượng thì vẫn thấy đúng). GET /api/ads không dùng bảng ad_targeting.
Lỗi: BUG-10
Test: tests/02-ads-list.test.mjs (tìm “TC-009”) – 2 test: 1 đạt, 1 không đạt</t>
  </si>
  <si>
    <t xml:space="preserve">TC-010</t>
  </si>
  <si>
    <t xml:space="preserve">Lọc theo danh mục</t>
  </si>
  <si>
    <t xml:space="preserve">Có QC nhiều danh mục</t>
  </si>
  <si>
    <t xml:space="preserve">Chọn chip “Giáo dục”</t>
  </si>
  <si>
    <t xml:space="preserve">Chỉ hiện quảng cáo danh mục Giáo dục</t>
  </si>
  <si>
    <t xml:space="preserve">Đạt: lọc theo category chỉ trả quảng cáo của danh mục được chọn.
Test: tests/02-ads-list.test.mjs (tìm “TC-010”)</t>
  </si>
  <si>
    <t xml:space="preserve">TC-011</t>
  </si>
  <si>
    <t xml:space="preserve">Quảng cáo đã xem hôm nay</t>
  </si>
  <si>
    <t xml:space="preserve">Đã xem QC #101 hôm nay</t>
  </si>
  <si>
    <t xml:space="preserve">Mở danh sách</t>
  </si>
  <si>
    <t xml:space="preserve">QC #101 hiện “Đã xem hôm nay”, nút bị khóa</t>
  </si>
  <si>
    <t xml:space="preserve">Đạt ở mức API: QC đã hoàn tất hôm nay có viewed_today &gt; 0; lượt STARTED/INVALID không làm QC bị khóa. Chữ “Đã xem hôm nay” và việc khóa nút thuộc giao diện nên chưa kiểm tra trên trình duyệt.
Test: tests/02-ads-list.test.mjs (tìm “TC-011”) – 2 test: 2 đạt, 0 không đạt</t>
  </si>
  <si>
    <t xml:space="preserve">TC-012</t>
  </si>
  <si>
    <t xml:space="preserve">UC-01</t>
  </si>
  <si>
    <t xml:space="preserve">Xem đủ thời lượng nhận xu</t>
  </si>
  <si>
    <t xml:space="preserve">QC 30 giây, thưởng 10 xu, số dư 0</t>
  </si>
  <si>
    <t xml:space="preserve">Xem hết 30 giây không tua</t>
  </si>
  <si>
    <t xml:space="preserve">Cộng 10 xu, sinh dòng EARN, spent_xu tăng 10</t>
  </si>
  <si>
    <t xml:space="preserve">Đạt: xem đủ thời lượng được cộng đúng xu thưởng, sinh 1 dòng EARN, spent_xu của QC tăng đúng bằng xu thưởng.
Test: tests/03-views.test.mjs (tìm “TC-012”)</t>
  </si>
  <si>
    <t xml:space="preserve">TC-013</t>
  </si>
  <si>
    <t xml:space="preserve">Tua video</t>
  </si>
  <si>
    <t xml:space="preserve">Đang xem QC</t>
  </si>
  <si>
    <t xml:space="preserve">Cố gắng tua tới cuối rồi hoàn tất</t>
  </si>
  <si>
    <t xml:space="preserve">Không cộng xu, lượt chuyển INVALID</t>
  </si>
  <si>
    <t xml:space="preserve">Gọi complete ngay sau start (mới trôi qua 2/30 giây) nhưng khai watched_seconds = 30 vẫn được cộng 10 xu: server tin số giây do client khai, không tự đo.
Lỗi: BUG-05
Test: tests/03-views.test.mjs (tìm “TC-013”)</t>
  </si>
  <si>
    <t xml:space="preserve">TC-014</t>
  </si>
  <si>
    <t xml:space="preserve">Chuyển tab giữa chừng</t>
  </si>
  <si>
    <t xml:space="preserve">Chuyển sang tab khác 20 giây rồi quay lại</t>
  </si>
  <si>
    <t xml:space="preserve">Không tính thời gian ngoài tab; không cộng xu nếu chưa đủ</t>
  </si>
  <si>
    <t xml:space="preserve">Kết luận từ đọc mã nguồn, CHƯA thử trên trình duyệt: page.js đếm ngược bằng setInterval, không xử lý visibilitychange/ẩn tab; server cũng không đo giờ (xem TC-013) nên không có lớp nào chặn. Nên chạy tay một lần (chuyển tab 20 giây) để xác nhận.
Lỗi: BUG-05, BUG-11
Test: tests/03-views.test.mjs (tìm “TC-014”)</t>
  </si>
  <si>
    <t xml:space="preserve">TC-015</t>
  </si>
  <si>
    <t xml:space="preserve">Gọi complete bằng token giả</t>
  </si>
  <si>
    <t xml:space="preserve">Gửi /views/complete với token không tồn tại</t>
  </si>
  <si>
    <t xml:space="preserve">token giả</t>
  </si>
  <si>
    <t xml:space="preserve">409, không cộng xu</t>
  </si>
  <si>
    <t xml:space="preserve">Hành vi đúng (token giả → từ chối, không cộng xu) nhưng trả HTTP 400, TC yêu cầu 409. Nếu nhóm chọn 400 thì sửa lại TC-01.
Lỗi: BUG-33
Test: tests/03-views.test.mjs (tìm “TC-015”) – 2 test: 1 đạt, 1 không đạt</t>
  </si>
  <si>
    <t xml:space="preserve">TC-016</t>
  </si>
  <si>
    <t xml:space="preserve">Gọi complete sớm bằng API</t>
  </si>
  <si>
    <t xml:space="preserve">Đã start</t>
  </si>
  <si>
    <t xml:space="preserve">Gọi complete sau 5 giây với QC 30 giây</t>
  </si>
  <si>
    <t xml:space="preserve">409 NOT_WATCHED_ENOUGH</t>
  </si>
  <si>
    <t xml:space="preserve">Khai thật 5 giây thì bị INVALID (đúng), nhưng chỉ cần khai watched_seconds = 30 sau 5 giây là được cộng 10 xu; mã trả về 400, TC yêu cầu 409 NOT_WATCHED_ENOUGH.
Lỗi: BUG-05, BUG-33
Test: tests/03-views.test.mjs (tìm “TC-016”) – 3 test: 1 đạt, 2 không đạt</t>
  </si>
  <si>
    <t xml:space="preserve">TC-017</t>
  </si>
  <si>
    <t xml:space="preserve">Dùng lại view_token</t>
  </si>
  <si>
    <t xml:space="preserve">Đã hoàn tất một lượt</t>
  </si>
  <si>
    <t xml:space="preserve">Gọi complete lần 2 cùng token</t>
  </si>
  <si>
    <t xml:space="preserve">Từ chối, không cộng thêm xu</t>
  </si>
  <si>
    <t xml:space="preserve">Đạt: dùng lại view_token đã hoàn tất bị từ chối, không cộng thêm xu; hai yêu cầu complete đồng thời cho cùng một token chỉ cộng xu một lần.
Test: tests/03-views.test.mjs (tìm “TC-017”) – 2 test: 2 đạt, 0 không đạt</t>
  </si>
  <si>
    <t xml:space="preserve">TC-018</t>
  </si>
  <si>
    <t xml:space="preserve">Xem lại cùng quảng cáo trong ngày</t>
  </si>
  <si>
    <t xml:space="preserve">Đã xem QC #101</t>
  </si>
  <si>
    <t xml:space="preserve">Gọi start với ad_id 101</t>
  </si>
  <si>
    <t xml:space="preserve">409, thông báo đã xem hôm nay</t>
  </si>
  <si>
    <t xml:space="preserve">Hành vi đúng (từ chối, báo đã nhận thưởng hôm nay) nhưng trả HTTP 400, TC yêu cầu 409.
Lỗi: BUG-33
Test: tests/03-views.test.mjs (tìm “TC-018”) – 2 test: 1 đạt, 1 không đạt</t>
  </si>
  <si>
    <t xml:space="preserve">TC-019</t>
  </si>
  <si>
    <t xml:space="preserve">Đạt trần ngày 50 lượt</t>
  </si>
  <si>
    <t xml:space="preserve">Đã hoàn tất 50 lượt</t>
  </si>
  <si>
    <t xml:space="preserve">Bấm xem QC khác</t>
  </si>
  <si>
    <t xml:space="preserve">429, báo đạt giới hạn, khóa nút xem</t>
  </si>
  <si>
    <t xml:space="preserve">Hành vi đúng (sau 50 lượt, từ chối và báo đạt giới hạn) nhưng trả HTTP 400, TC yêu cầu 429. Việc khóa nút xem thuộc giao diện nên chưa kiểm tra.
Lỗi: BUG-33
Test: tests/03-views.test.mjs (tìm “TC-019”) – 2 test: 1 đạt, 1 không đạt</t>
  </si>
  <si>
    <t xml:space="preserve">TC-020</t>
  </si>
  <si>
    <t xml:space="preserve">Đạt trần 500 xu</t>
  </si>
  <si>
    <t xml:space="preserve">Đã nhận 500 xu hôm nay</t>
  </si>
  <si>
    <t xml:space="preserve">Bấm xem tiếp</t>
  </si>
  <si>
    <t xml:space="preserve">Từ chối kèm thông báo trần xu</t>
  </si>
  <si>
    <t xml:space="preserve">Đạt: khi đã nhận đủ 500 xu trong ngày, bắt đầu lượt mới bị từ chối kèm thông báo trần xu (HTTP 400, API-01 ghi 429 – BUG-33). Lưu ý hạn mức chỉ được kiểm tra ở bước start (BUG-08).
Test: tests/03-views.test.mjs (tìm “TC-020”)</t>
  </si>
  <si>
    <t xml:space="preserve">TC-021</t>
  </si>
  <si>
    <t xml:space="preserve">Khoảng nghỉ 10 giây</t>
  </si>
  <si>
    <t xml:space="preserve">Vừa xem xong</t>
  </si>
  <si>
    <t xml:space="preserve">Bấm xem QC khác sau 3 giây</t>
  </si>
  <si>
    <t xml:space="preserve">Từ chối, yêu cầu chờ</t>
  </si>
  <si>
    <t xml:space="preserve">Chưa cài đặt: vừa hoàn tất một lượt, bấm xem QC khác sau vài giây vẫn được bắt đầu (SYS-02 yêu cầu nghỉ ≥ 10 giây).
Lỗi: BUG-22
Test: tests/03-views.test.mjs (tìm “TC-021”)</t>
  </si>
  <si>
    <t xml:space="preserve">TC-022</t>
  </si>
  <si>
    <t xml:space="preserve">Mất kết nối khi xem</t>
  </si>
  <si>
    <t xml:space="preserve">Đang xem</t>
  </si>
  <si>
    <t xml:space="preserve">Ngắt mạng 40 giây</t>
  </si>
  <si>
    <t xml:space="preserve">Lượt INVALID, nhả ngân sách giữ chỗ, được xem lại</t>
  </si>
  <si>
    <t xml:space="preserve">Chưa có /views/heartbeat nên server không biết người xem đã mất mạng/rời đi: lượt không bị INVALID, ngân sách không được nhả. (Phần “lượt đã INVALID thì được xem lại” đạt.)
Lỗi: BUG-09, BUG-12
Test: tests/03-views.test.mjs (tìm “TC-022”) – 2 test: 1 đạt, 1 không đạt</t>
  </si>
  <si>
    <t xml:space="preserve">TC-023</t>
  </si>
  <si>
    <t xml:space="preserve">Hết ngân sách khi bắt đầu</t>
  </si>
  <si>
    <t xml:space="preserve">QC còn ngân sách &lt; xu thưởng</t>
  </si>
  <si>
    <t xml:space="preserve">Bấm xem</t>
  </si>
  <si>
    <t xml:space="preserve">Báo “Quảng cáo đã hết lượt”</t>
  </si>
  <si>
    <t xml:space="preserve">Ngân sách còn 5 xu &lt; xu thưởng 10 xu vẫn cho bắt đầu xem (chỉ chặn khi ngân sách hết hẳn – phần này đạt).
Lỗi: BUG-09
Test: tests/03-views.test.mjs (tìm “TC-023”) – 2 test: 1 đạt, 1 không đạt</t>
  </si>
  <si>
    <t xml:space="preserve">TC-024</t>
  </si>
  <si>
    <t xml:space="preserve">Hai người cùng xem lượt ngân sách cuối</t>
  </si>
  <si>
    <t xml:space="preserve">QC còn đủ 1 lượt</t>
  </si>
  <si>
    <t xml:space="preserve">Hai viewer bấm xem cùng lúc</t>
  </si>
  <si>
    <t xml:space="preserve">2 viewer</t>
  </si>
  <si>
    <t xml:space="preserve">Chỉ một người được giữ chỗ, spent_xu không vượt budget_xu</t>
  </si>
  <si>
    <t xml:space="preserve">Hai người cùng bắt đầu lượt ngân sách cuối đều được vào xem (start không giữ chỗ); xem xong người thứ hai bị lỗi khi nhận xu do ràng buộc spent_xu ≤ budget_xu.
Lỗi: BUG-09
Test: tests/03-views.test.mjs (tìm “TC-024”) – 2 test: 0 đạt, 2 không đạt</t>
  </si>
  <si>
    <t xml:space="preserve">TC-025</t>
  </si>
  <si>
    <t xml:space="preserve">Ví xu</t>
  </si>
  <si>
    <t xml:space="preserve">UC-V03</t>
  </si>
  <si>
    <t xml:space="preserve">Lịch sử giao dịch đúng số dư</t>
  </si>
  <si>
    <t xml:space="preserve">Có 3 giao dịch</t>
  </si>
  <si>
    <t xml:space="preserve">Mở lịch sử</t>
  </si>
  <si>
    <t xml:space="preserve">Mỗi dòng có loại, số xu, số dư sau giao dịch; dòng cuối khớp số dư</t>
  </si>
  <si>
    <t xml:space="preserve">Đạt: mỗi dòng sổ cái có loại, số xu, số dư sau; dòng mới nhất khớp số dư ví. Đối soát tổng EARN/REDEEM/REFUND/BONUS/ADJUST với số dư sau một kịch bản hỗn hợp cũng khớp (INT-03).
Test: tests/04-wallet-redeem.test.mjs (tìm “TC-025”)</t>
  </si>
  <si>
    <t xml:space="preserve">TC-026</t>
  </si>
  <si>
    <t xml:space="preserve">Số dư không âm</t>
  </si>
  <si>
    <t xml:space="preserve">Số dư 100 xu</t>
  </si>
  <si>
    <t xml:space="preserve">Gửi yêu cầu trừ 200 xu</t>
  </si>
  <si>
    <t xml:space="preserve">Từ chối, số dư vẫn 100</t>
  </si>
  <si>
    <t xml:space="preserve">Đạt: đổi quà giá 200 xu khi chỉ có 100 xu bị từ chối; số dư vẫn 100, không tạo đơn, không giảm tồn kho, không sinh dòng REDEEM.
Test: tests/04-wallet-redeem.test.mjs (tìm “TC-026”)</t>
  </si>
  <si>
    <t xml:space="preserve">TC-027</t>
  </si>
  <si>
    <t xml:space="preserve">Đổi quà</t>
  </si>
  <si>
    <t xml:space="preserve">UC-02</t>
  </si>
  <si>
    <t xml:space="preserve">Đổi quà đủ xu, ≤ 50.000đ</t>
  </si>
  <si>
    <t xml:space="preserve">Số dư 1.500, thẻ 10.000đ còn hàng</t>
  </si>
  <si>
    <t xml:space="preserve">Chọn đổi, nhập OTP đúng</t>
  </si>
  <si>
    <t xml:space="preserve">Trừ 1.000 xu, tự duyệt, hiển thị mã thẻ, sinh dòng REDEEM</t>
  </si>
  <si>
    <t xml:space="preserve">Đạt: đổi quà ≤ 50.000đ trừ đúng xu, tự duyệt, trả mã thẻ, sinh dòng REDEEM đúng số tiền và số dư sau.
Test: tests/04-wallet-redeem.test.mjs (tìm “TC-027”)</t>
  </si>
  <si>
    <t xml:space="preserve">TC-028</t>
  </si>
  <si>
    <t xml:space="preserve">Không đủ xu</t>
  </si>
  <si>
    <t xml:space="preserve">Số dư 500</t>
  </si>
  <si>
    <t xml:space="preserve">Chọn thẻ 10.000đ</t>
  </si>
  <si>
    <t xml:space="preserve">Báo thiếu 500 xu</t>
  </si>
  <si>
    <t xml:space="preserve">Đạt: thiếu xu thì báo còn thiếu đúng 500 xu, không trừ xu, không tạo đơn (HTTP 400, API-01 ghi 409 – BUG-33).
Test: tests/04-wallet-redeem.test.mjs (tìm “TC-028”)</t>
  </si>
  <si>
    <t xml:space="preserve">TC-029</t>
  </si>
  <si>
    <t xml:space="preserve">Hết hàng</t>
  </si>
  <si>
    <t xml:space="preserve">stock_qty = 0</t>
  </si>
  <si>
    <t xml:space="preserve">Chọn quà đó</t>
  </si>
  <si>
    <t xml:space="preserve">Nút bị khóa, trạng thái Tạm hết</t>
  </si>
  <si>
    <t xml:space="preserve">Đạt ở mức API: quà hết hàng không đổi được, không trừ xu; danh mục vẫn trả stock_qty = 0 để giao diện khóa nút (đọc mã thấy page.js có nhãn “Tạm hết” và disabled). Chưa thử trên trình duyệt.
Test: tests/04-wallet-redeem.test.mjs (tìm “TC-029”)</t>
  </si>
  <si>
    <t xml:space="preserve">TC-030</t>
  </si>
  <si>
    <t xml:space="preserve">Đang xác nhận</t>
  </si>
  <si>
    <t xml:space="preserve">Nhập OTP sai 3 lần</t>
  </si>
  <si>
    <t xml:space="preserve">Khóa đổi quà 15 phút</t>
  </si>
  <si>
    <t xml:space="preserve">Chưa cài đặt: không có /redemptions/confirm; đổi quà trừ xu ngay, không có bước OTP nên không có khóa 15 phút.
Lỗi: BUG-21
Test: tests/04-wallet-redeem.test.mjs (tìm “TC-030”)</t>
  </si>
  <si>
    <t xml:space="preserve">TC-031</t>
  </si>
  <si>
    <t xml:space="preserve">Tối đa 3 đơn/ngày</t>
  </si>
  <si>
    <t xml:space="preserve">Đã đổi 3 đơn hôm nay</t>
  </si>
  <si>
    <t xml:space="preserve">Đổi đơn thứ 4</t>
  </si>
  <si>
    <t xml:space="preserve">429, báo vượt giới hạn</t>
  </si>
  <si>
    <t xml:space="preserve">Đơn thứ 4 trong ngày vẫn được chấp nhận (cả 4 đơn được tạo): chưa có giới hạn 3 đơn/ngày.
Lỗi: BUG-23
Test: tests/04-wallet-redeem.test.mjs (tìm “TC-031”)</t>
  </si>
  <si>
    <t xml:space="preserve">TC-032</t>
  </si>
  <si>
    <t xml:space="preserve">Đơn lớn chờ duyệt</t>
  </si>
  <si>
    <t xml:space="preserve">Quà có mệnh giá lớn hơn 50.000đ còn hàng, số dư đủ</t>
  </si>
  <si>
    <t xml:space="preserve">Đổi quà &gt; 50.000đ</t>
  </si>
  <si>
    <t xml:space="preserve">Quà 100.000đ</t>
  </si>
  <si>
    <t xml:space="preserve">Đơn PENDING, chưa có mã thẻ, xu đã trừ</t>
  </si>
  <si>
    <t xml:space="preserve">Đạt: đơn &gt; 50.000đ có trạng thái PENDING, chưa có mã thẻ, xu đã bị trừ.
Test: tests/04-wallet-redeem.test.mjs (tìm “TC-032”)</t>
  </si>
  <si>
    <t xml:space="preserve">TC-033</t>
  </si>
  <si>
    <t xml:space="preserve">Admin từ chối đơn</t>
  </si>
  <si>
    <t xml:space="preserve">Đơn PENDING</t>
  </si>
  <si>
    <t xml:space="preserve">Admin từ chối kèm lý do</t>
  </si>
  <si>
    <t xml:space="preserve">Hoàn xu bằng REFUND, trả mã về kho, người xem được thông báo</t>
  </si>
  <si>
    <t xml:space="preserve">Hoàn xu bằng REFUND, trả hàng về kho, đơn chuyển REJECTED đều đúng. Nhưng lý do Admin nhập không được lưu nên người xem không được thông báo vì sao bị từ chối.
Lỗi: BUG-25
Test: tests/04-wallet-redeem.test.mjs (tìm “TC-033”) – 3 test: 2 đạt, 1 không đạt</t>
  </si>
  <si>
    <t xml:space="preserve">TC-034</t>
  </si>
  <si>
    <t xml:space="preserve">Quảng cáo</t>
  </si>
  <si>
    <t xml:space="preserve">UC-04</t>
  </si>
  <si>
    <t xml:space="preserve">Tạo chiến dịch hợp lệ</t>
  </si>
  <si>
    <t xml:space="preserve">Đăng nhập Advertiser</t>
  </si>
  <si>
    <t xml:space="preserve">Điền đủ thông tin, gửi duyệt</t>
  </si>
  <si>
    <t xml:space="preserve">30 giây, ngân sách 50.000</t>
  </si>
  <si>
    <t xml:space="preserve">Quảng cáo PENDING, có ad_targeting</t>
  </si>
  <si>
    <t xml:space="preserve">Đạt: tạo chiến dịch hợp lệ có trạng thái PENDING, spent_xu = 0 và có bản ghi ad_targeting. (Ngân sách chưa bị giữ khỏi ví nhà QC – BUG-13.)
Test: tests/05-ads-admin.test.mjs (tìm “TC-034”)</t>
  </si>
  <si>
    <t xml:space="preserve">TC-035</t>
  </si>
  <si>
    <t xml:space="preserve">Thời lượng ngoài 5–60 giây</t>
  </si>
  <si>
    <t xml:space="preserve">Nhập thời lượng 90</t>
  </si>
  <si>
    <t xml:space="preserve">90</t>
  </si>
  <si>
    <t xml:space="preserve">Từ chối lưu</t>
  </si>
  <si>
    <t xml:space="preserve">Đạt: thời lượng 90 giây, 4 giây và 61 giây bị từ chối; 5 giây và 60 giây được chấp nhận.
Test: tests/05-ads-admin.test.mjs (tìm “TC-035”)</t>
  </si>
  <si>
    <t xml:space="preserve">TC-036</t>
  </si>
  <si>
    <t xml:space="preserve">Ngày kết thúc trước ngày bắt đầu</t>
  </si>
  <si>
    <t xml:space="preserve">Nhập ngày sai thứ tự</t>
  </si>
  <si>
    <t xml:space="preserve">Báo lỗi, chặn lưu</t>
  </si>
  <si>
    <t xml:space="preserve">Đạt: ngày kết thúc trước ngày bắt đầu bị chặn kèm thông báo; cùng ngày thì hợp lệ.
Test: tests/05-ads-admin.test.mjs (tìm “TC-036”)</t>
  </si>
  <si>
    <t xml:space="preserve">TC-037</t>
  </si>
  <si>
    <t xml:space="preserve">UC-05</t>
  </si>
  <si>
    <t xml:space="preserve">Admin duyệt quảng cáo</t>
  </si>
  <si>
    <t xml:space="preserve">Có QC PENDING</t>
  </si>
  <si>
    <t xml:space="preserve">Admin bấm Duyệt</t>
  </si>
  <si>
    <t xml:space="preserve">Chuyển ACTIVE, lưu reviewed_by</t>
  </si>
  <si>
    <t xml:space="preserve">Đạt: Admin duyệt PENDING → ACTIVE, lưu reviewed_by, QC xuất hiện trong danh sách của người xem. Lưu ý: bất kỳ ai cũng gọi được API này (BUG-02).
Test: tests/05-ads-admin.test.mjs (tìm “TC-037”)</t>
  </si>
  <si>
    <t xml:space="preserve">TC-038</t>
  </si>
  <si>
    <t xml:space="preserve">Admin từ chối quảng cáo</t>
  </si>
  <si>
    <t xml:space="preserve">Từ chối kèm lý do</t>
  </si>
  <si>
    <t xml:space="preserve">REJECTED, hoàn ngân sách</t>
  </si>
  <si>
    <t xml:space="preserve">Từ chối: trạng thái REJECTED và lý do được lưu (đạt), nhưng không hoàn ngân sách vì lúc gửi duyệt ngân sách chưa hề được giữ chỗ.
Lỗi: BUG-13
Test: tests/05-ads-admin.test.mjs (tìm “TC-038”) – 2 test: 1 đạt, 1 không đạt</t>
  </si>
  <si>
    <t xml:space="preserve">TC-039</t>
  </si>
  <si>
    <t xml:space="preserve">Phân quyền</t>
  </si>
  <si>
    <t xml:space="preserve">Viewer truy cập API Admin</t>
  </si>
  <si>
    <t xml:space="preserve">Đăng nhập Viewer</t>
  </si>
  <si>
    <t xml:space="preserve">Gọi GET /admin/ads</t>
  </si>
  <si>
    <t xml:space="preserve">403</t>
  </si>
  <si>
    <t xml:space="preserve">Viewer #5 gọi GET /api/ads?role=ADMIN nhận HTTP 200 kèm dữ liệu vì role do client tự khai trên URL; TC yêu cầu 403. (Ứng dụng không có route /admin/ads, route tương đương là /api/ads?role=ADMIN.)
Lỗi: BUG-01, BUG-02
Test: tests/05-ads-admin.test.mjs (tìm “TC-039”)</t>
  </si>
  <si>
    <t xml:space="preserve">TC-040</t>
  </si>
  <si>
    <t xml:space="preserve">Advertiser xem báo cáo QC của người khác</t>
  </si>
  <si>
    <t xml:space="preserve">Đăng nhập Advertiser A</t>
  </si>
  <si>
    <t xml:space="preserve">Gọi báo cáo QC của B</t>
  </si>
  <si>
    <t xml:space="preserve">(1) Chưa có endpoint báo cáo /ads/{id}/report nên không kiểm tra được; (2) Nhà QC #2 đọc được 3 chiến dịch của Nhà QC #3 với HTTP 200 thay vì 403.
Lỗi: BUG-03, BUG-15
Test: tests/05-ads-admin.test.mjs (tìm “TC-040”) – 2 test: 0 đạt, 2 không đạt</t>
  </si>
  <si>
    <t xml:space="preserve">TC-041</t>
  </si>
  <si>
    <t xml:space="preserve">Gian lận</t>
  </si>
  <si>
    <t xml:space="preserve">UC-06</t>
  </si>
  <si>
    <t xml:space="preserve">Cảnh báo nhiều tài khoản cùng thiết bị</t>
  </si>
  <si>
    <t xml:space="preserve">4 tài khoản cùng device_id</t>
  </si>
  <si>
    <t xml:space="preserve">Chạy tác vụ quét</t>
  </si>
  <si>
    <t xml:space="preserve">Cả 4 tài khoản xuất hiện trong cảnh báo</t>
  </si>
  <si>
    <t xml:space="preserve">Danh sách “nghi vấn” trả TẤT CẢ người xem (7/7), kể cả người không dùng chung thiết bị; giao diện không gửi device_id nên mọi lượt mang giá trị mặc định BROWSER_CLIENT.
Lỗi: BUG-16
Test: tests/05-ads-admin.test.mjs (tìm “TC-041”)</t>
  </si>
  <si>
    <t xml:space="preserve">TC-042</t>
  </si>
  <si>
    <t xml:space="preserve">Vô hiệu lượt xem và thu hồi xu</t>
  </si>
  <si>
    <t xml:space="preserve">Tài khoản có 500 xu nghi vấn</t>
  </si>
  <si>
    <t xml:space="preserve">Admin chọn Vô hiệu</t>
  </si>
  <si>
    <t xml:space="preserve">Lượt INVALID, trừ xu bằng ADJUST, số dư không âm</t>
  </si>
  <si>
    <t xml:space="preserve">Trừ xu bằng ADJUST và số dư không âm (đạt); nhưng các lượt xem nghi vấn vẫn COMPLETED, không chuyển INVALID.
Lỗi: BUG-17
Test: tests/05-ads-admin.test.mjs (tìm “TC-042”) – 2 test: 1 đạt, 1 không đạt</t>
  </si>
  <si>
    <t xml:space="preserve">TC-043</t>
  </si>
  <si>
    <t xml:space="preserve">Thu hồi khi số dư không đủ</t>
  </si>
  <si>
    <t xml:space="preserve">Số dư 200, cần thu hồi 500</t>
  </si>
  <si>
    <t xml:space="preserve">Admin vô hiệu</t>
  </si>
  <si>
    <t xml:space="preserve">Số dư về 0, ghi phần thiếu vào ghi chú</t>
  </si>
  <si>
    <t xml:space="preserve">Số dư 200 &lt; 500: số dư về 0, không âm (đạt); nhưng ghi chú không nêu phần thiếu 300 xu.
Lỗi: BUG-17
Test: tests/05-ads-admin.test.mjs (tìm “TC-043”) – 2 test: 1 đạt, 1 không đạt</t>
  </si>
  <si>
    <t xml:space="preserve">TC-044</t>
  </si>
  <si>
    <t xml:space="preserve">Khóa tài khoản</t>
  </si>
  <si>
    <t xml:space="preserve">Tài khoản nghi vấn</t>
  </si>
  <si>
    <t xml:space="preserve">Admin chọn Khóa</t>
  </si>
  <si>
    <t xml:space="preserve">Tài khoản LOCKED, không đăng nhập được</t>
  </si>
  <si>
    <t xml:space="preserve">Khóa tài khoản chuyển LOCKED (đạt) nhưng tài khoản vừa khóa vẫn đăng nhập thành công. Nút “Khóa” còn là dạng đảo trạng thái: bấm hai lần sẽ mở khóa (BUG-31).
Lỗi: BUG-07, BUG-31
Test: tests/05-ads-admin.test.mjs (tìm “TC-044”) – 2 test: 1 đạt, 1 không đạt</t>
  </si>
  <si>
    <t xml:space="preserve">TC-045</t>
  </si>
  <si>
    <t xml:space="preserve">Báo cáo</t>
  </si>
  <si>
    <t xml:space="preserve">UC-AD06</t>
  </si>
  <si>
    <t xml:space="preserve">Xuất báo cáo Excel</t>
  </si>
  <si>
    <t xml:space="preserve">Có dữ liệu giao dịch</t>
  </si>
  <si>
    <t xml:space="preserve">Admin xuất báo cáo</t>
  </si>
  <si>
    <t xml:space="preserve">File có xu phát hành, xu đã đổi, chi phí QC khớp dữ liệu</t>
  </si>
  <si>
    <t xml:space="preserve">Chưa cài đặt: không có chức năng xuất báo cáo Excel (UC-AD06). /api/admin/stats chỉ trả số liệu JSON và số liệu đó khớp dữ liệu.
Lỗi: BUG-24
Test: tests/05-ads-admin.test.mjs (tìm “TC-045”)</t>
  </si>
  <si>
    <t xml:space="preserve">TỔNG HỢP KẾT QUẢ KIỂM THỬ</t>
  </si>
  <si>
    <t xml:space="preserve">Đề tài: YouTube Xu – Xem quảng cáo nhận xu  ·  Kế hoạch: TEST-01  ·  Test case: TC-01</t>
  </si>
  <si>
    <t xml:space="preserve">1. Thông tin lần chạy (TEST-01 §Báo cáo kết quả)</t>
  </si>
  <si>
    <t xml:space="preserve">Phiên bản build</t>
  </si>
  <si>
    <t xml:space="preserve">youtube-xu-web 1.0.0 (package.json) – gói nộp Sprint_Youtube_Xu_da_chinh_sua.rar, SHA-256 114c3d54d1c37081…</t>
  </si>
  <si>
    <t xml:space="preserve">Người chạy</t>
  </si>
  <si>
    <t xml:space="preserve">Claude (trợ lý AI) chạy tự động bằng bộ test trong thư mục tests/ theo yêu cầu của nhóm</t>
  </si>
  <si>
    <t xml:space="preserve">Thời gian chạy</t>
  </si>
  <si>
    <t xml:space="preserve">28/10/2026 21:27 (giờ Việt Nam)</t>
  </si>
  <si>
    <t xml:space="preserve">Môi trường</t>
  </si>
  <si>
    <t xml:space="preserve">Node.js v22.23.4 trên Linux. CSDL giả lập SQLite trong bộ nhớ, dựng theo schema của nhóm – KHÔNG phải MySQL 8 thật trên XAMPP</t>
  </si>
  <si>
    <t xml:space="preserve">Phạm vi đã kiểm</t>
  </si>
  <si>
    <t xml:space="preserve">Mức API/CSDL: gọi trực tiếp các route handler thật trong app/api với các câu SQL thật. Chưa kiểm: giao diện trình duyệt, hiệu năng 500 người xem (k6/JMeter), responsive di động</t>
  </si>
  <si>
    <t xml:space="preserve">Chạy lại</t>
  </si>
  <si>
    <t xml:space="preserve">Trong thư mục dự án: node tests/run.mjs   (cần Node ≥ 22.5; xem tests/README.md). Chạy riêng một TC: node tests/run.mjs --test-name-pattern="TC-013"</t>
  </si>
  <si>
    <t xml:space="preserve">2. Kết quả theo test case (sheet “Test cases”)</t>
  </si>
  <si>
    <t xml:space="preserve">Chỉ tiêu</t>
  </si>
  <si>
    <t xml:space="preserve">Số lượng</t>
  </si>
  <si>
    <t xml:space="preserve">Tỷ lệ</t>
  </si>
  <si>
    <t xml:space="preserve">Tổng số test case</t>
  </si>
  <si>
    <t xml:space="preserve">Chặn</t>
  </si>
  <si>
    <t xml:space="preserve">Chưa chạy</t>
  </si>
  <si>
    <t xml:space="preserve">3. Tiêu chí ra (TEST-01 §4)</t>
  </si>
  <si>
    <t xml:space="preserve">Tiêu chí</t>
  </si>
  <si>
    <t xml:space="preserve">Hiện tại</t>
  </si>
  <si>
    <t xml:space="preserve">Yêu cầu</t>
  </si>
  <si>
    <t xml:space="preserve">Kết luận</t>
  </si>
  <si>
    <t xml:space="preserve">Chi tiết</t>
  </si>
  <si>
    <t xml:space="preserve">100% test case mức Cao đã chạy và đạt</t>
  </si>
  <si>
    <t xml:space="preserve">Không còn lỗi nghiêm trọng (sai số dư xu, lộ quyền)</t>
  </si>
  <si>
    <t xml:space="preserve">≥ 90% test case tổng thể đạt</t>
  </si>
  <si>
    <t xml:space="preserve">4. Kết quả theo module</t>
  </si>
  <si>
    <t xml:space="preserve">Tổng</t>
  </si>
  <si>
    <t xml:space="preserve">Tỷ lệ đạt</t>
  </si>
  <si>
    <t xml:space="preserve">Cộng</t>
  </si>
  <si>
    <t xml:space="preserve">5. Lỗi theo mức độ (sheet “Danh sách lỗi”)</t>
  </si>
  <si>
    <t xml:space="preserve">Mức độ (TEST-01 §5)</t>
  </si>
  <si>
    <t xml:space="preserve">Số lỗi</t>
  </si>
  <si>
    <t xml:space="preserve">Đang mở</t>
  </si>
  <si>
    <t xml:space="preserve">Nghiêm trọng</t>
  </si>
  <si>
    <t xml:space="preserve">Thấp</t>
  </si>
  <si>
    <t xml:space="preserve">6. Test tự động (sheet “Chi tiết lần chạy”)</t>
  </si>
  <si>
    <t xml:space="preserve">Tổng số test tự động đã chạy</t>
  </si>
  <si>
    <t xml:space="preserve">Số lỗi gốc đã gom từ các test không đạt</t>
  </si>
  <si>
    <t xml:space="preserve">7. Lưu ý khi đọc kết quả</t>
  </si>
  <si>
    <t xml:space="preserve">• “Đạt” nghĩa là đạt ở mức API/CSDL theo test tự động. Các hiển thị trên giao diện (nút bị khóa, thông báo, đăng nhập tự động…) chưa được kiểm tra bằng trình duyệt; các TC có phần này đã ghi rõ trong cột Ghi chú.</t>
  </si>
  <si>
    <t xml:space="preserve">• CSDL giả lập SQLite khác MySQL 8 ở một số chi tiết (kiểu dữ liệu trả về, collation, độ dài VARCHAR, cơ chế khóa dòng). Cần chạy lại trên XAMPP trước khi kết luận cuối sprint; theo TEST-01, chỉ kết luận đạt ≥ 90% sau khi đã chạy thật.</t>
  </si>
  <si>
    <t xml:space="preserve">• Một nguyên nhân gốc có thể làm nhiều test không đạt (ví dụ 16 test cùng do chưa có xác thực nên số test không đạt lớn hơn nhiều so với số lỗi). Hãy đếm theo sheet “Danh sách lỗi”.</t>
  </si>
  <si>
    <t xml:space="preserve">• TC-014 được kết luận bằng đọc mã nguồn, nên chạy tay một lần để chốt. Các TC báo “Không đạt” do chưa cài đặt chức năng (OTP, heartbeat, báo cáo, xuất Excel…) cần nhóm quyết định làm hoặc đưa ra khỏi phạm vi rồi sửa TC-01.</t>
  </si>
  <si>
    <t xml:space="preserve">• Tại thời điểm chạy bảng có 45 test case: TC-046 (hiệu năng cộng xu) và TC-047 (giao diện di động) đã được xóa khỏi danh sách theo yêu cầu của nhóm. Hiệu năng 500 người xem và responsive di động vì vậy chưa được kiểm tra bởi test nào (TEST-01 §2 vẫn xếp chúng vào kiểm thử phi chức năng).</t>
  </si>
  <si>
    <t xml:space="preserve">• Cột Trạng thái của sheet “Test cases” có thể sửa tay (Đạt / Không đạt / Chặn / Chưa chạy); các bảng ở sheet này tự cập nhật theo.</t>
  </si>
  <si>
    <t xml:space="preserve">Mã lỗi</t>
  </si>
  <si>
    <t xml:space="preserve">Mô tả (thực tế)</t>
  </si>
  <si>
    <t xml:space="preserve">Test case (TC-01)</t>
  </si>
  <si>
    <t xml:space="preserve">Test tự động (bằng chứng)</t>
  </si>
  <si>
    <t xml:space="preserve">Vị trí trong mã nguồn</t>
  </si>
  <si>
    <t xml:space="preserve">Gợi ý sửa</t>
  </si>
  <si>
    <t xml:space="preserve">BUG-01</t>
  </si>
  <si>
    <t xml:space="preserve">Không có xác thực: API không kiểm tra JWT, tin userId/role do client gửi</t>
  </si>
  <si>
    <t xml:space="preserve">Đăng nhập không phát hành token (AUTH_SECRET trong .env.local không được dùng ở đâu). 15 API được thử (redeem, views/start, views/complete, wallet, auth/me, affiliate, redemptions, ads?role=ADMIN, tạo QC, đổi trạng thái QC, xử lý đơn, tạo quà, admin/stats, admin/fraud GET và POST) đều vẫn xử lý khi không có token hoặc token giả (HTTP 200/400) thay vì trả 401.</t>
  </si>
  <si>
    <t xml:space="preserve">tests/01-auth.test.mjs: SEC-06
tests/06-security.test.mjs: SEC-13…SEC-27</t>
  </si>
  <si>
    <t xml:space="preserve">Toàn bộ app/api/**/route.js; auth/login/route.js L58–62 (không phát hành token); .env.local (AUTH_SECRET chưa dùng)</t>
  </si>
  <si>
    <t xml:space="preserve">Đăng nhập ký JWT bằng AUTH_SECRET (jose hoặc jsonwebtoken, hạn 1–24 giờ) và trả cho client. Viết hàm dùng chung requireAuth(request, {roles}) đọc Authorization: Bearer, trả 401 nếu thiếu/sai/hết hạn. Mọi route lấy user_id từ token, không đọc từ body, query hay header x-user-id.</t>
  </si>
  <si>
    <t xml:space="preserve">Mới</t>
  </si>
  <si>
    <t xml:space="preserve">BUG-02</t>
  </si>
  <si>
    <t xml:space="preserve">Không phân quyền theo vai trò: Viewer/Nhà QC gọi được chức năng Admin</t>
  </si>
  <si>
    <t xml:space="preserve">“Vai trò” chỉ là tham số ?role=ADMIN trên URL. Viewer #5 gọi GET /api/ads?role=ADMIN nhận HTTP 200 kèm dữ liệu (TC-039 yêu cầu 403). Viewer tạo được quà thẻ 500.000đ giá 1 xu rồi tự đổi (SEC-32); Nhà QC tự chuyển QC của mình từ PENDING sang ACTIVE, bỏ qua bước Admin duyệt (SEC-33); Viewer khóa tài khoản và thu hồi xu của người khác (SEC-34); Viewer tự duyệt đơn đổi quà lớn của chính mình và nhận mã thẻ (SEC-35).</t>
  </si>
  <si>
    <t xml:space="preserve">tests/05-ads-admin.test.mjs: TC-039
tests/06-security.test.mjs: SEC-32…SEC-35</t>
  </si>
  <si>
    <t xml:space="preserve">ads/route.js L9, L14 (role từ query); rewards/route.js L19–35; ads/[id]/status/route.js L4–22; admin/fraud/route.js L6, L42–112; admin/stats/route.js L6; redemptions/[id]/process/route.js L5–10</t>
  </si>
  <si>
    <t xml:space="preserve">Sau khi có JWT (BUG-01), kiểm tra role lấy từ token: /admin/*, POST /rewards, PATCH /ads/[id]/status và PATCH /redemptions/[id]/process chỉ cho ADMIN (trả 403); POST /ads chỉ cho ADVERTISER. admin_id/reviewed_by lấy từ token, không nhận từ body.</t>
  </si>
  <si>
    <t xml:space="preserve">BUG-03</t>
  </si>
  <si>
    <t xml:space="preserve">Truy cập chéo dữ liệu người khác (IDOR): ví, hồ sơ, mã thẻ, đổi quà, chiến dịch</t>
  </si>
  <si>
    <t xml:space="preserve">Server lấy userId từ query/body nên Viewer #5 đọc được ví và lịch sử giao dịch của #8 (SEC-28), hồ sơ gồm email/SĐT của #6 (SEC-29), mã thẻ/voucher của người khác qua ?role=ADMIN hoặc ?userId= (SEC-30; mã thẻ = tiền thật), đổi quà bằng xu của người khác chỉ bằng cách sửa user_id trong request (SEC-31). Nhà QC #2 đọc được 3 chiến dịch của Nhà QC #3 với HTTP 200 (TC-040 yêu cầu 403).</t>
  </si>
  <si>
    <t xml:space="preserve">tests/05-ads-admin.test.mjs: TC-040
tests/06-security.test.mjs: SEC-28…SEC-31</t>
  </si>
  <si>
    <t xml:space="preserve">wallet/route.js L9; auth/me/route.js L9; redemptions/route.js L9–23; redeem/route.js L9; ads/route.js L10, L31–41; affiliate/route.js L9</t>
  </si>
  <si>
    <t xml:space="preserve">Dùng user_id trong JWT làm chủ sở hữu; bỏ tham số userId/role/user_id khỏi query và body. Thêm điều kiện WHERE user_id = &lt;từ token&gt; (hoặc advertiser_id) cho mọi truy vấn dữ liệu cá nhân; chỉ Admin mới được truy vấn theo user bất kỳ.</t>
  </si>
  <si>
    <t xml:space="preserve">BUG-04</t>
  </si>
  <si>
    <t xml:space="preserve">Mật khẩu “123456” đăng nhập được mọi tài khoản (kể cả ADMIN); đăng ký bỏ qua mật khẩu đã nhập</t>
  </si>
  <si>
    <t xml:space="preserve">login: password === "123456" luôn hợp lệ cho mọi tài khoản (SEC-02). Mật khẩu được so sánh trực tiếp với chuỗi lưu trong CSDL, nhập đúng chuỗi băm là vào được (SEC-03). register không lưu mật khẩu người dùng nhập mà gán cứng băm của “123456” (SEC-01) nên mật khẩu tự đặt không đăng nhập lại được. Thông báo lỗi tiết lộ “Mật khẩu mặc định demo là: 123456” (SEC-05).</t>
  </si>
  <si>
    <t xml:space="preserve">tests/01-auth.test.mjs: SEC-01…SEC-03, SEC-05</t>
  </si>
  <si>
    <t xml:space="preserve">auth/login/route.js L36–47; auth/register/route.js L46–47</t>
  </si>
  <si>
    <t xml:space="preserve">Đăng ký: bcrypt.hash(password, 12). Đăng nhập: bcrypt.compare. Xóa mật khẩu mặc định và đoạn lộ mật khẩu trong thông báo; dùng một thông báo chung “Sai tài khoản hoặc mật khẩu” để không dò được tài khoản tồn tại. Seed tài khoản demo bằng băm thật.</t>
  </si>
  <si>
    <t xml:space="preserve">BUG-05</t>
  </si>
  <si>
    <t xml:space="preserve">Server không tự đo thời gian xem, tin watched_seconds do client gửi</t>
  </si>
  <si>
    <t xml:space="preserve">Gọi complete ngay sau start (mới trôi qua 2/30 giây) nhưng khai watched_seconds = 30 vẫn được cộng 10 xu (TC-013); gọi sau 5 giây khai 30s vẫn được cộng (TC-016). Giao diện cũng luôn gửi watched_seconds = duration_sec (page.js L335) nên không có lớp nào chặn việc tua hoặc bỏ qua video.</t>
  </si>
  <si>
    <t xml:space="preserve">TC-013, TC-014, TC-016</t>
  </si>
  <si>
    <t xml:space="preserve">tests/03-views.test.mjs: TC-013, TC-016</t>
  </si>
  <si>
    <t xml:space="preserve">views/complete/route.js L51–63; app/page.js L328–336</t>
  </si>
  <si>
    <t xml:space="preserve">Bỏ watched_seconds từ client. Tại complete tính elapsed = NOW() − started_at ở server (kèm heartbeat, xem BUG-12) và chỉ chấp nhận khi elapsed ≥ duration_sec − dung sai 1–2 giây; ngược lại đặt INVALID và trả 409 NOT_WATCHED_ENOUGH.</t>
  </si>
  <si>
    <t xml:space="preserve">BUG-06</t>
  </si>
  <si>
    <t xml:space="preserve">complete không ràng buộc token với người xem, quảng cáo và trạng thái lượt xem</t>
  </si>
  <si>
    <t xml:space="preserve">User #9 nhận 10 xu bằng token của user #5 vì lượt xem chỉ được tìm theo view_token (SEC-10). Khai ad_id khác với quảng cáo đã start để nhận thưởng cao hơn: nhận 20 xu thay vì tối đa 5 xu (SEC-11). Lượt đã bị đánh INVALID vẫn “hồi sinh” và nhận xu khi gọi complete lần nữa vì chỉ chặn trạng thái COMPLETED (SEC-12).</t>
  </si>
  <si>
    <t xml:space="preserve">tests/03-views.test.mjs: SEC-10…SEC-12</t>
  </si>
  <si>
    <t xml:space="preserve">views/complete/route.js L8, L17–22, L31, L37–41, L85–88</t>
  </si>
  <si>
    <t xml:space="preserve">Chỉ nhận view_token từ client. Truy vấn WHERE view_token = ? AND user_id = &lt;từ JWT&gt; AND view_status = "STARTED" FOR UPDATE; lấy ad_id và reward_xu từ chính bản ghi ad_views/ads của lượt đó; cộng xu cho chủ lượt xem.</t>
  </si>
  <si>
    <t xml:space="preserve">BUG-07</t>
  </si>
  <si>
    <t xml:space="preserve">Tài khoản bị khóa vẫn đăng nhập thành công</t>
  </si>
  <si>
    <t xml:space="preserve">Đăng nhập tài khoản LOCKED trả HTTP 200, success = true kèm toàn bộ dữ liệu người dùng, chỉ đổi câu thông báo (TC-007; API-01 yêu cầu 403). Tài khoản Admin vừa khóa xong vẫn đăng nhập được (TC-044).</t>
  </si>
  <si>
    <t xml:space="preserve">TC-007, TC-044</t>
  </si>
  <si>
    <t xml:space="preserve">tests/01-auth.test.mjs: CT-02, TC-007
tests/05-ads-admin.test.mjs: TC-044</t>
  </si>
  <si>
    <t xml:space="preserve">auth/login/route.js L49–62</t>
  </si>
  <si>
    <t xml:space="preserve">Nếu account_status = "LOCKED" trả 403 {success:false, message:"Tài khoản đã bị khóa"} và không trả user hay token; giao diện hiển thị thông báo từ response.</t>
  </si>
  <si>
    <t xml:space="preserve">BUG-08</t>
  </si>
  <si>
    <t xml:space="preserve">complete không kiểm tra lại hạn mức ngày, trạng thái tài khoản và hạn dùng của token</t>
  </si>
  <si>
    <t xml:space="preserve">start chỉ đếm lượt đã COMPLETED nên bắt đầu nhiều lượt rồi hoàn tất cùng lúc vẫn vượt trần: 52 lượt hoàn tất trong một ngày (trần 50) (EXT-11). Tài khoản bị khóa giữa chừng vẫn nhận được xu (EXT-15). view_token tồn tại vô thời hạn: token tạo 2 giờ trước vẫn hoàn tất được (EXT-16).</t>
  </si>
  <si>
    <t xml:space="preserve">TC-019, TC-020</t>
  </si>
  <si>
    <t xml:space="preserve">tests/03-views.test.mjs: EXT-11, EXT-15, EXT-16</t>
  </si>
  <si>
    <t xml:space="preserve">views/start/route.js L26–41; views/complete/route.js L14–35</t>
  </si>
  <si>
    <t xml:space="preserve">Trong cùng transaction của complete: kiểm tra account_status = "ACTIVE"; đếm lại lượt/xu trong ngày (khóa dòng user bằng SELECT … FOR UPDATE để tuần tự hóa); từ chối token quá hạn (ví dụ started_at + duration + 60 giây) và chuyển INVALID.</t>
  </si>
  <si>
    <t xml:space="preserve">BUG-09</t>
  </si>
  <si>
    <t xml:space="preserve">Ngân sách quảng cáo không được giữ chỗ khi bắt đầu xem</t>
  </si>
  <si>
    <t xml:space="preserve">start chỉ kiểm tra spent_xu ≥ budget_xu, còn spent_xu chỉ tăng khi complete. QC còn 5 xu, xu thưởng 10 xu vẫn cho bắt đầu xem (TC-023). QC còn đúng 1 lượt: hai người cùng bắt đầu đều được, cả hai xem hết video rồi người thứ hai bị lỗi vì vi phạm ràng buộc spent_xu ≤ budget_xu (TC-024) – mất công xem mà không nhận xu.</t>
  </si>
  <si>
    <t xml:space="preserve">TC-022, TC-023, TC-024</t>
  </si>
  <si>
    <t xml:space="preserve">tests/03-views.test.mjs: TC-023, TC-024</t>
  </si>
  <si>
    <t xml:space="preserve">views/start/route.js L58–68; views/complete/route.js L78–82</t>
  </si>
  <si>
    <t xml:space="preserve">Khi start, trong transaction SELECT … FOR UPDATE bảng ads; yêu cầu budget_xu − spent_xu − reserved_xu ≥ reward_xu rồi tăng giữ chỗ (cột reserved_xu hoặc bảng giữ chỗ). complete chuyển giữ chỗ thành đã chi; INVALID/token hết hạn thì nhả giữ chỗ.</t>
  </si>
  <si>
    <t xml:space="preserve">BUG-10</t>
  </si>
  <si>
    <t xml:space="preserve">Đối tượng mục tiêu (ad_targeting) được lưu nhưng không dùng khi hiển thị và cho xem</t>
  </si>
  <si>
    <t xml:space="preserve">Nam 30 tuổi vẫn thấy và xem được quảng cáo nhắm nữ 18–24 tuổi ở Hà Nội (TC-009); ma trận giới tính × độ tuổi × tỉnh không được lọc (EXT-08). GET /api/ads và POST /views/start không hề đọc bảng ad_targeting.</t>
  </si>
  <si>
    <t xml:space="preserve">tests/02-ads-list.test.mjs: EXT-08, TC-009</t>
  </si>
  <si>
    <t xml:space="preserve">ads/route.js L43–64; views/start/route.js L57–66</t>
  </si>
  <si>
    <t xml:space="preserve">LEFT JOIN ad_targeting và lọc: gender IS NULL OR gender = ?; tuổi (năm hiện tại − birth_year) nằm trong [age_from, age_to] khi có; province khớp. Lấy hồ sơ người xem từ CSDL theo JWT. Áp dụng cùng điều kiện ở /views/start.</t>
  </si>
  <si>
    <t xml:space="preserve">BUG-11</t>
  </si>
  <si>
    <t xml:space="preserve">Giao diện đếm ngược bằng setInterval, không tạm dừng khi chuyển tab</t>
  </si>
  <si>
    <t xml:space="preserve">page.js không xử lý visibilitychange/document.hidden nên thời gian ngoài tab vẫn bị tính (TC-014). Kết hợp BUG-05 (server không đo giờ) nên không có lớp nào chặn. Kết luận dựa trên đọc mã nguồn, chưa thử bằng trình duyệt thật.</t>
  </si>
  <si>
    <t xml:space="preserve">tests/03-views.test.mjs: TC-014</t>
  </si>
  <si>
    <t xml:space="preserve">app/page.js L306 (setInterval), L328–336</t>
  </si>
  <si>
    <t xml:space="preserve">Lắng nghe visibilitychange: khi tab ẩn thì tạm dừng đếm và ngừng gửi heartbeat; server chỉ tính thời gian có heartbeat (BUG-12). Hiện thông báo “Hãy quay lại tab để tiếp tục xem”.</t>
  </si>
  <si>
    <t xml:space="preserve">BUG-12</t>
  </si>
  <si>
    <t xml:space="preserve">Chưa có heartbeat: không phát hiện mất kết nối hoặc rời trang khi đang xem</t>
  </si>
  <si>
    <t xml:space="preserve">API-01 quy định POST /views/heartbeat (mỗi 5 giây) nhưng ứng dụng chưa có endpoint này, nên server không đánh INVALID khi mất kết nối &gt; 30 giây và không nhả ngân sách giữ chỗ (TC-022).</t>
  </si>
  <si>
    <t xml:space="preserve">tests/03-views.test.mjs: TC-022</t>
  </si>
  <si>
    <t xml:space="preserve">Thiếu app/api/views/heartbeat/route.js; app/page.js L306</t>
  </si>
  <si>
    <t xml:space="preserve">Thêm /views/heartbeat cập nhật last_seen_at; complete và tác vụ dọn dẹp định kỳ đánh INVALID lượt có khoảng trống heartbeat &gt; 30 giây và nhả giữ chỗ ngân sách.</t>
  </si>
  <si>
    <t xml:space="preserve">BUG-13</t>
  </si>
  <si>
    <t xml:space="preserve">Ngân sách nhà quảng cáo không bị giữ chỗ khi gửi duyệt và không được hoàn khi bị từ chối</t>
  </si>
  <si>
    <t xml:space="preserve">Tạo chiến dịch không trừ hay giữ ngân sách khỏi ví nhà QC (SYS-02 UC-04) nên khi Admin từ chối không có gì để hoàn (TC-038). Trạng thái REJECTED và lý do từ chối được lưu đúng.</t>
  </si>
  <si>
    <t xml:space="preserve">tests/05-ads-admin.test.mjs: EXT-34, TC-038</t>
  </si>
  <si>
    <t xml:space="preserve">ads/route.js L102–124; ads/[id]/status/route.js L15–22</t>
  </si>
  <si>
    <t xml:space="preserve">Trong transaction tạo QC: kiểm tra số dư nhà QC ≥ budget_xu, trừ/giữ và ghi sổ cái. Khi REJECTED/ENDED hoàn phần chưa dùng (budget_xu − spent_xu) và ghi giao dịch REFUND.</t>
  </si>
  <si>
    <t xml:space="preserve">BUG-14</t>
  </si>
  <si>
    <t xml:space="preserve">Nhà quảng cáo tự đặt xu thưởng mỗi lượt xem tùy ý</t>
  </si>
  <si>
    <t xml:space="preserve">reward_xu lấy từ client: đặt 1.000.000 xu/lượt vẫn được lưu (EXT-33) trong khi SYS-02 quy định khung 5 xu (≤ 15s), 10 xu (16–30s), 20 xu (31–60s); tức là có thể “in” xu hàng loạt khi có người xem.</t>
  </si>
  <si>
    <t xml:space="preserve">tests/05-ads-admin.test.mjs: EXT-33</t>
  </si>
  <si>
    <t xml:space="preserve">ads/route.js L111–117</t>
  </si>
  <si>
    <t xml:space="preserve">Bỏ reward_xu từ client; luôn tính theo khung (≤ 15 giây: 5 xu; ≤ 30 giây: 10 xu; &gt; 30 giây: 20 xu) hoặc chỉ cho Admin chỉnh khi duyệt.</t>
  </si>
  <si>
    <t xml:space="preserve">BUG-15</t>
  </si>
  <si>
    <t xml:space="preserve">Chưa có báo cáo hiệu quả chiến dịch (/ads/{id}/report)</t>
  </si>
  <si>
    <t xml:space="preserve">UC-AV05 và API-01 yêu cầu GET /ads/{id}/report cho nhà QC chủ chiến dịch (403 nếu không phải chủ). Ứng dụng chưa có endpoint này nên không kiểm tra được phân quyền báo cáo (TC-040).</t>
  </si>
  <si>
    <t xml:space="preserve">tests/05-ads-admin.test.mjs: TC-040</t>
  </si>
  <si>
    <t xml:space="preserve">Thiếu app/api/ads/[id]/report/route.js</t>
  </si>
  <si>
    <t xml:space="preserve">Thêm endpoint trả số lượt xem hoàn tất, xu đã chi, ngân sách còn lại; kiểm tra advertiser_id = user_id trong JWT, ngược lại trả 403.</t>
  </si>
  <si>
    <t xml:space="preserve">BUG-16</t>
  </si>
  <si>
    <t xml:space="preserve">Cảnh báo nhiều tài khoản dùng chung thiết bị chưa được cài đặt</t>
  </si>
  <si>
    <t xml:space="preserve">Danh sách “nghi vấn” trả TẤT CẢ người xem (7/7 người không dùng chung thiết bị cũng bị liệt kê), không dùng device_id (TC-041). Giao diện cũng không gửi device_id nên mọi lượt xem mang giá trị mặc định BROWSER_CLIENT.</t>
  </si>
  <si>
    <t xml:space="preserve">tests/05-ads-admin.test.mjs: TC-041</t>
  </si>
  <si>
    <t xml:space="preserve">admin/fraud/route.js L9–18; views/start/route.js L8, L82; app/page.js (không gửi device_id)</t>
  </si>
  <si>
    <t xml:space="preserve">Giao diện sinh device_id (UUID lưu localStorage) và gửi kèm; bỏ giá trị mặc định “BROWSER_CLIENT”. Quét GROUP BY device_id HAVING COUNT(DISTINCT user_id) ≥ 3 và trả nhóm tài khoản để Admin xem.</t>
  </si>
  <si>
    <t xml:space="preserve">BUG-17</t>
  </si>
  <si>
    <t xml:space="preserve">Thu hồi xu (REVOKE_XU) không đánh INVALID các lượt xem nghi vấn và không ghi phần thiếu vào ghi chú</t>
  </si>
  <si>
    <t xml:space="preserve">Sau khi Admin thu hồi, các lượt xem vẫn COMPLETED (API-01 có hành động invalidate) (TC-042). Khi số dư 200 &lt; 500 cần thu hồi, số dư về 0 đúng nhưng ghi chú không nêu phần thiếu 300 xu (TC-043). Phần trừ xu bằng ADJUST và không để âm là đúng.</t>
  </si>
  <si>
    <t xml:space="preserve">TC-042, TC-043</t>
  </si>
  <si>
    <t xml:space="preserve">tests/05-ads-admin.test.mjs: TC-042, TC-043</t>
  </si>
  <si>
    <t xml:space="preserve">admin/fraud/route.js L68–101</t>
  </si>
  <si>
    <t xml:space="preserve">Nhận danh sách view_id (hoặc khoảng thời gian) và UPDATE ad_views SET view_status = "INVALID". Ghi chú ADJUST dạng “Thu hồi X/Y xu (thiếu Z xu)”.</t>
  </si>
  <si>
    <t xml:space="preserve">BUG-18</t>
  </si>
  <si>
    <t xml:space="preserve">Hoa hồng giới thiệu không bị thu hồi khi đơn đổi quà bị từ chối</t>
  </si>
  <si>
    <t xml:space="preserve">Người giới thiệu nhận 5% ngay khi bạn đổi quà. Admin từ chối đơn thì người đổi được hoàn đủ xu nhưng người giới thiệu vẫn giữ 500 xu hoa hồng (AFF-04): mỗi vòng “đổi rồi hủy” tạo xu từ không khí; kết hợp BUG-02 có thể lặp vô hạn.</t>
  </si>
  <si>
    <t xml:space="preserve">tests/08-affiliate.test.mjs: AFF-04</t>
  </si>
  <si>
    <t xml:space="preserve">redeem/route.js L102–144; redemptions/[id]/process/route.js L51–89</t>
  </si>
  <si>
    <t xml:space="preserve">Chỉ trả hoa hồng đổi quà khi đơn APPROVED; hoặc khi REJECT ghi thêm giao dịch ADJUST âm cho người giới thiệu (không để âm số dư).</t>
  </si>
  <si>
    <t xml:space="preserve">BUG-19</t>
  </si>
  <si>
    <t xml:space="preserve">youtube_xu_database.sql viết bằng T-SQL (SQL Server), không chạy được trên MySQL</t>
  </si>
  <si>
    <t xml:space="preserve">Đầu file ghi rõ “MICROSOFT SQL SERVER / T-SQL”; script chứa IDENTITY(...), lệnh GO, NVARCHAR, SET IDENTITY_INSERT, IF DB_ID(...), trong khi code dùng mysql2, .env.local trỏ tới MySQL của XAMPP và TEST-01 §3 ghi môi trường MySQL 8; thư mục migrations/ đang trống (INT-02). Không dựng được CSDL từ tài liệu đã nộp.</t>
  </si>
  <si>
    <t xml:space="preserve">tests/07-integrity.test.mjs: INT-02</t>
  </si>
  <si>
    <t xml:space="preserve">youtube_xu_database.sql (toàn file; dòng 4 ghi rõ T-SQL)</t>
  </si>
  <si>
    <t xml:space="preserve">Viết lại script cho MySQL 8: AUTO_INCREMENT, VARCHAR (utf8mb4), bỏ GO/IDENTITY_INSERT, CREATE DATABASE IF NOT EXISTS. Đặt trong migrations/ và chạy thử trên XAMPP trước khi nộp.</t>
  </si>
  <si>
    <t xml:space="preserve">BUG-20</t>
  </si>
  <si>
    <t xml:space="preserve">Script CSDL thiếu cột users.referral_code mà code đang dùng</t>
  </si>
  <si>
    <t xml:space="preserve">register và affiliate dùng users.referral_code nhưng bảng users trong script không có cột này, nên đăng ký lỗi 500 trên CSDL dựng từ script (INT-01).</t>
  </si>
  <si>
    <t xml:space="preserve">tests/07-integrity.test.mjs: INT-01</t>
  </si>
  <si>
    <t xml:space="preserve">youtube_xu_database.sql L35–55 (bảng users); auth/register/route.js L37, L51, L58; affiliate/route.js L13</t>
  </si>
  <si>
    <t xml:space="preserve">Thêm referral_code VARCHAR(12) UNIQUE vào bảng users (và dữ liệu mẫu) trong script.</t>
  </si>
  <si>
    <t xml:space="preserve">BUG-21</t>
  </si>
  <si>
    <t xml:space="preserve">OTP chưa được cài đặt (đăng ký và đổi quà)</t>
  </si>
  <si>
    <t xml:space="preserve">register tạo tài khoản ngay, không qua OTP; chưa có /auth/verify-otp (TC-005, TC-006). Đổi quà trừ xu ngay, chưa có /redemptions/confirm (TC-030) nên không có cơ chế khóa 15 phút khi nhập sai OTP.</t>
  </si>
  <si>
    <t xml:space="preserve">TC-001, TC-005, TC-006, TC-030</t>
  </si>
  <si>
    <t xml:space="preserve">tests/01-auth.test.mjs: TC-005, TC-006
tests/04-wallet-redeem.test.mjs: TC-030</t>
  </si>
  <si>
    <t xml:space="preserve">Thiếu app/api/auth/verify-otp và app/api/redemptions/confirm; auth/register/route.js L50–67; redeem/route.js L15–144</t>
  </si>
  <si>
    <t xml:space="preserve">Thêm bảng otp_codes (mã băm, hạn 5 phút, số lần sai). register/redeem tạo bản ghi ở trạng thái chờ OTP; endpoint xác nhận kiểm tra mã, sai 3 lần thì yêu cầu gửi mã mới (đăng ký) hoặc khóa 15 phút (đổi quà). Nếu nhóm bỏ OTP khỏi phạm vi demo thì sửa TC-01 và API-01 cho khớp.</t>
  </si>
  <si>
    <t xml:space="preserve">BUG-22</t>
  </si>
  <si>
    <t xml:space="preserve">Chưa có khoảng nghỉ tối thiểu 10 giây giữa hai lượt xem</t>
  </si>
  <si>
    <t xml:space="preserve">Vừa hoàn tất một lượt xem, bấm xem quảng cáo khác sau vài giây vẫn được bắt đầu (SYS-02 yêu cầu nghỉ ≥ 10 giây) (TC-021).</t>
  </si>
  <si>
    <t xml:space="preserve">tests/03-views.test.mjs: TC-021</t>
  </si>
  <si>
    <t xml:space="preserve">views/start/route.js (thiếu kiểm tra completed_at gần nhất)</t>
  </si>
  <si>
    <t xml:space="preserve">Tại start: nếu người dùng có lượt COMPLETED với completed_at &gt; NOW() − 10 giây thì trả 429 kèm số giây phải chờ.</t>
  </si>
  <si>
    <t xml:space="preserve">BUG-23</t>
  </si>
  <si>
    <t xml:space="preserve">Chưa giới hạn tối đa 3 đơn đổi quà mỗi ngày</t>
  </si>
  <si>
    <t xml:space="preserve">Đơn thứ 4 trong ngày vẫn được chấp nhận (4 đơn được tạo) (TC-031).</t>
  </si>
  <si>
    <t xml:space="preserve">tests/04-wallet-redeem.test.mjs: TC-031</t>
  </si>
  <si>
    <t xml:space="preserve">redeem/route.js L15–59</t>
  </si>
  <si>
    <t xml:space="preserve">Đếm đơn trong ngày của người dùng (requested_at từ 00:00 giờ VN); nếu ≥ 3 thì trả 429.</t>
  </si>
  <si>
    <t xml:space="preserve">BUG-24</t>
  </si>
  <si>
    <t xml:space="preserve">Chưa có chức năng xuất báo cáo Excel của Admin (UC-AD06)</t>
  </si>
  <si>
    <t xml:space="preserve">Không có endpoint xuất báo cáo xu phát hành / xu đã đổi / chi phí QC (TC-045). /api/admin/stats chỉ trả số liệu JSON và khớp dữ liệu (EXT-42).</t>
  </si>
  <si>
    <t xml:space="preserve">tests/05-ads-admin.test.mjs: TC-045</t>
  </si>
  <si>
    <t xml:space="preserve">Thiếu app/api/admin/reports/export/route.js</t>
  </si>
  <si>
    <t xml:space="preserve">Thêm endpoint xuất .xlsx (exceljs) gồm xu phát hành, xu đã đổi, chi phí QC; đối chiếu số liệu với /admin/stats.</t>
  </si>
  <si>
    <t xml:space="preserve">BUG-25</t>
  </si>
  <si>
    <t xml:space="preserve">Lý do từ chối đơn đổi quà không được lưu nên người xem không biết vì sao bị từ chối</t>
  </si>
  <si>
    <t xml:space="preserve">Admin từ chối “kèm lý do” nhưng route bỏ qua trường lý do và bảng redemptions không có cột lưu lý do (TC-033). Việc hoàn xu bằng REFUND, trả hàng về kho và đổi trạng thái REJECTED hoạt động đúng.</t>
  </si>
  <si>
    <t xml:space="preserve">tests/04-wallet-redeem.test.mjs: TC-033</t>
  </si>
  <si>
    <t xml:space="preserve">redemptions/[id]/process/route.js L10, L64–69; bảng redemptions (thiếu cột reject_reason)</t>
  </si>
  <si>
    <t xml:space="preserve">Thêm cột reject_reason; nhận “reason” khi REJECT (bắt buộc) và trả trong GET /redemptions để giao diện hiển thị cho người xem.</t>
  </si>
  <si>
    <t xml:space="preserve">BUG-26</t>
  </si>
  <si>
    <t xml:space="preserve">Cập nhật trạng thái quảng cáo không kiểm tra: id không tồn tại, chuyển sai luồng, từ chối không cần lý do</t>
  </si>
  <si>
    <t xml:space="preserve">Cập nhật QC không tồn tại vẫn trả 200 “thành công” (EXT-36). Cho phép REJECTED/ENDED → ACTIVE và PENDING → PAUSED, không trả 409 (EXT-35). Từ chối không kèm lý do vẫn được chấp nhận (EXT-38; API-01 và UI-01 yêu cầu có lý do).</t>
  </si>
  <si>
    <t xml:space="preserve">tests/05-ads-admin.test.mjs: EXT-35, EXT-36, EXT-38</t>
  </si>
  <si>
    <t xml:space="preserve">ads/[id]/status/route.js L10–22</t>
  </si>
  <si>
    <t xml:space="preserve">Đọc trạng thái hiện tại (FOR UPDATE); chỉ cho PENDING → ACTIVE/REJECTED, ACTIVE ↔ PAUSED, ACTIVE/PAUSED → ENDED, còn lại trả 409. Trả 404 nếu không có bản ghi (affectedRows = 0). REJECTED bắt buộc có reject_reason.</t>
  </si>
  <si>
    <t xml:space="preserve">BUG-27</t>
  </si>
  <si>
    <t xml:space="preserve">/views/start không kiểm tra khoảng ngày chạy của quảng cáo</t>
  </si>
  <si>
    <t xml:space="preserve">Quảng cáo đã hết hạn hoặc chưa tới ngày bắt đầu vẫn bắt đầu xem và nhận xu được qua API (EXT-13); chỉ danh sách quảng cáo có lọc ngày.</t>
  </si>
  <si>
    <t xml:space="preserve">tests/03-views.test.mjs: EXT-13</t>
  </si>
  <si>
    <t xml:space="preserve">views/start/route.js L58–66</t>
  </si>
  <si>
    <t xml:space="preserve">Thêm điều kiện ngày hôm nay (theo giờ VN) nằm giữa start_date và end_date vào truy vấn kiểm tra quảng cáo.</t>
  </si>
  <si>
    <t xml:space="preserve">BUG-28</t>
  </si>
  <si>
    <t xml:space="preserve">Đăng ký: kiểm tra dữ liệu đầu vào chưa đủ (năm sinh, email, số điện thoại)</t>
  </si>
  <si>
    <t xml:space="preserve">Bỏ trống hoặc gửi sai năm sinh (không gửi, "", 0, "abc", null) vẫn đăng ký được, tức là qua mặt giới hạn 16 tuổi (EXT-03). Email/SĐT sai định dạng (“khong-phai-email”, “a@b”, SĐT “abcdefghij” hoặc “12”) vẫn được chấp nhận (EXT-04). Email có khoảng trắng thừa được lưu nguyên nên không đăng nhập lại được vì login thì cắt khoảng trắng (EXT-05).</t>
  </si>
  <si>
    <t xml:space="preserve">tests/01-auth.test.mjs: EXT-03…EXT-05</t>
  </si>
  <si>
    <t xml:space="preserve">auth/register/route.js L11–19, L23, L53; auth/login/route.js L24</t>
  </si>
  <si>
    <t xml:space="preserve">Bắt buộc birth_year hợp lệ (số nguyên từ 1900 đến năm nay); kiểm tra định dạng email/SĐT (regex hoặc zod); trim email, SĐT và họ tên trước khi kiểm tra trùng và lưu.</t>
  </si>
  <si>
    <t xml:space="preserve">BUG-29</t>
  </si>
  <si>
    <t xml:space="preserve">Tạo quảng cáo / tạo quà: không kiểm tra dữ liệu đầu vào, lỗi lọt xuống CSDL thành HTTP 500</t>
  </si>
  <si>
    <t xml:space="preserve">Dữ liệu sai kiểu hoặc thiếu (ngân sách không phải số, thiếu tên quà, xu_cost âm hoặc bằng 0, mệnh giá âm, tồn kho âm…) không bị chặn ở tầng API mà trả 500 kèm lỗi nội bộ (EXT-32, EXT-43). Ngoài ra, đọc mã thấy stock_qty = 0 bị đổi thành 100 do “stock_qty || 100” (chưa có test riêng).</t>
  </si>
  <si>
    <t xml:space="preserve">tests/05-ads-admin.test.mjs: EXT-32
tests/06-security.test.mjs: EXT-43</t>
  </si>
  <si>
    <t xml:space="preserve">ads/route.js L93–117; rewards/route.js L22–28</t>
  </si>
  <si>
    <t xml:space="preserve">Kiểm tra bằng schema (zod/yup): kiểu số nguyên, &gt; 0, độ dài tiêu đề, URL YouTube hợp lệ; trả 400 kèm danh sách lỗi. Dùng stock_qty ?? 100 hoặc bắt buộc nhập.</t>
  </si>
  <si>
    <t xml:space="preserve">BUG-30</t>
  </si>
  <si>
    <t xml:space="preserve">Lỗi 500 trả nguyên thông báo của CSDL/hệ thống; JSON hỏng cũng thành 500</t>
  </si>
  <si>
    <t xml:space="preserve">Mọi khối catch trả error.message, ví dụ “ER_NO_SUCH_TABLE: Table 'youtube_xu.users' doesn't exist” (lộ tên bảng/cột) (SEC-09). Body JSON sai định dạng làm 6 route (login, register, views/start, views/complete, redeem, POST ads) trả 500 thay vì 400 (CT-06).</t>
  </si>
  <si>
    <t xml:space="preserve">tests/01-auth.test.mjs: CT-06, SEC-09</t>
  </si>
  <si>
    <t xml:space="preserve">Mọi khối catch trong app/api (ví dụ auth/login/route.js L63–66); request.json() không bọc try/catch riêng</t>
  </si>
  <si>
    <t xml:space="preserve">500 chỉ trả thông báo chung “Lỗi hệ thống” kèm mã theo dõi (requestId), ghi chi tiết vào log phía server. Bọc request.json() bằng try/catch và trả 400.</t>
  </si>
  <si>
    <t xml:space="preserve">BUG-31</t>
  </si>
  <si>
    <t xml:space="preserve">TOGGLE_LOCK đảo trạng thái: bấm “Khóa” hai lần sẽ vô tình mở khóa tài khoản gian lận</t>
  </si>
  <si>
    <t xml:space="preserve">Hành động TOGGLE_LOCK đảo ACTIVE ↔ LOCKED nên gửi lặp (double-click, thử lại do mạng chậm) làm mất tác dụng khóa (EXT-39).</t>
  </si>
  <si>
    <t xml:space="preserve">tests/05-ads-admin.test.mjs: EXT-39</t>
  </si>
  <si>
    <t xml:space="preserve">admin/fraud/route.js L50–66</t>
  </si>
  <si>
    <t xml:space="preserve">Nhận trạng thái đích (action LOCK / UNLOCK) thay vì đảo; thao tác lặp phải cho cùng kết quả (idempotent).</t>
  </si>
  <si>
    <t xml:space="preserve">BUG-32</t>
  </si>
  <si>
    <t xml:space="preserve">“Ngày” tính theo UTC thay vì giờ Việt Nam</t>
  </si>
  <si>
    <t xml:space="preserve">new Date().toISOString() là giờ UTC nên lúc 01:30 sáng 29/10 (giờ VN) lượt xem vẫn được ghi vào ngày 28/10: hạn mức 50 lượt/500 xu, khóa “đã xem hôm nay” và lọc ngày chạy chỉ làm mới lúc 07:00 sáng (EXT-44). Cần nhóm xác nhận quy ước múi giờ.</t>
  </si>
  <si>
    <t xml:space="preserve">tests/07-integrity.test.mjs: EXT-44</t>
  </si>
  <si>
    <t xml:space="preserve">views/start/route.js L14; ads/route.js L44</t>
  </si>
  <si>
    <t xml:space="preserve">Tính ngày theo Asia/Ho_Chi_Minh (toLocaleDateString("en-CA", {timeZone: "Asia/Ho_Chi_Minh"})) hoặc đặt timezone "+07:00" cho pool mysql2 và dùng CURDATE().</t>
  </si>
  <si>
    <t xml:space="preserve">BUG-33</t>
  </si>
  <si>
    <t xml:space="preserve">Mã HTTP lệch hợp đồng API-01 và TC-01 (trả 400 thay vì 409/429)</t>
  </si>
  <si>
    <t xml:space="preserve">Hành vi đúng (từ chối, không cộng xu) nhưng mã trả về là 400: token giả (TC-015), chưa xem đủ (TC-016), xem lại trong ngày (TC-018), đạt trần 50 lượt (TC-019, cần 429), email/SĐT trùng (CT-01, cần 409), đơn đã xử lý (CT-07), thiếu xu hoặc hết hàng (CT-08, cần 409). Nếu nhóm chọn giữ 400 thì phải sửa TC-01 và API-01 cho khớp.</t>
  </si>
  <si>
    <t xml:space="preserve">TC-015, TC-016, TC-018, TC-019</t>
  </si>
  <si>
    <t xml:space="preserve">tests/01-auth.test.mjs: CT-01
tests/03-views.test.mjs: TC-015, TC-016, TC-018, TC-019
tests/04-wallet-redeem.test.mjs: CT-07, CT-08</t>
  </si>
  <si>
    <t xml:space="preserve">views/start/route.js L40, L54, L65; views/complete/route.js L26, L33, L62; auth/register/route.js L28; redeem/route.js L49, L58; redemptions/[id]/process/route.js L30</t>
  </si>
  <si>
    <t xml:space="preserve">Trả 409 cho xung đột nghiệp vụ, 429 cho vượt hạn mức, kèm trường error có mã ổn định (NOT_WATCHED_ENOUGH, DAILY_LIMIT…) theo API-01.</t>
  </si>
  <si>
    <t xml:space="preserve">BUG-34</t>
  </si>
  <si>
    <t xml:space="preserve">Trang giới thiệu: hoa hồng từng người bạn được ghép theo họ tên trong ghi chú</t>
  </si>
  <si>
    <t xml:space="preserve">Hai bạn trùng họ tên thì hiển thị hoa hồng của nhau: bạn #13 chưa xem gì vẫn hiện 2 xu (AFF-06) vì truy vấn dùng LIKE "%[tên]%" trên ghi chú.</t>
  </si>
  <si>
    <t xml:space="preserve">tests/08-affiliate.test.mjs: AFF-06</t>
  </si>
  <si>
    <t xml:space="preserve">affiliate/route.js L55–59</t>
  </si>
  <si>
    <t xml:space="preserve">Lưu referee_id vào xu_transactions (hoặc liên kết qua view_id/redemption_id → user) rồi SUM theo user_id thay vì LIKE theo tên.</t>
  </si>
  <si>
    <t xml:space="preserve">STT</t>
  </si>
  <si>
    <t xml:space="preserve">Mã kiểm thử</t>
  </si>
  <si>
    <t xml:space="preserve">File test</t>
  </si>
  <si>
    <t xml:space="preserve">Kết quả</t>
  </si>
  <si>
    <t xml:space="preserve">Thời gian (ms)</t>
  </si>
  <si>
    <t xml:space="preserve">Nội dung kiểm tra</t>
  </si>
  <si>
    <t xml:space="preserve">Kết quả thực tế (khi không đạt)</t>
  </si>
  <si>
    <t xml:space="preserve">SMOKE-01</t>
  </si>
  <si>
    <t xml:space="preserve">00-smoke.test.mjs</t>
  </si>
  <si>
    <t xml:space="preserve">nạp được dữ liệu mẫu và gọi được route handler thật</t>
  </si>
  <si>
    <t xml:space="preserve">SMOKE-02</t>
  </si>
  <si>
    <t xml:space="preserve">gọi được route động có tham số [id]</t>
  </si>
  <si>
    <t xml:space="preserve">SMOKE-03</t>
  </si>
  <si>
    <t xml:space="preserve">luồng xem quảng cáo đầy đủ chạy được (start -&gt; complete)</t>
  </si>
  <si>
    <t xml:space="preserve">SMOKE-04</t>
  </si>
  <si>
    <t xml:space="preserve">không có transaction nào bị bỏ treo</t>
  </si>
  <si>
    <t xml:space="preserve">01-auth.test.mjs</t>
  </si>
  <si>
    <t xml:space="preserve">đăng ký thành công: tạo tài khoản VIEWER, số dư 0 xu</t>
  </si>
  <si>
    <t xml:space="preserve">đăng ký trùng email: bị từ chối, báo thông tin đã được dùng, không tạo thêm tài khoản</t>
  </si>
  <si>
    <t xml:space="preserve">đăng ký trùng số điện thoại: bị từ chối, không tạo tài khoản</t>
  </si>
  <si>
    <t xml:space="preserve">dưới 16 tuổi (năm sinh 2015): bị từ chối, không tạo tài khoản</t>
  </si>
  <si>
    <t xml:space="preserve">OTP sai 3 lần buộc gửi OTP mới (cần endpoint xác thực OTP)</t>
  </si>
  <si>
    <t xml:space="preserve">Chưa có endpoint /auth/verify-otp: chức năng OTP khi đăng ký chưa được cài đặt (register tạo tài khoản ngay, không qua OTP)</t>
  </si>
  <si>
    <t xml:space="preserve">OTP hết hạn sau 5 phút (cần endpoint xác thực OTP)</t>
  </si>
  <si>
    <t xml:space="preserve">Chưa có endpoint /auth/verify-otp nên không có OTP để hết hạn</t>
  </si>
  <si>
    <t xml:space="preserve">đăng nhập tài khoản bị khóa: bị từ chối, báo tài khoản bị khóa, không trả dữ liệu người dùng</t>
  </si>
  <si>
    <t xml:space="preserve">API trả success=true (HTTP 200) cho tài khoản LOCKED và còn trả cả dữ liệu người dùng; chỉ có thông báo nhắc khóa
true !== false</t>
  </si>
  <si>
    <t xml:space="preserve">SEC-01</t>
  </si>
  <si>
    <t xml:space="preserve">mật khẩu nhập lúc đăng ký phải là mật khẩu đăng nhập của tài khoản đó</t>
  </si>
  <si>
    <t xml:space="preserve">Đăng nhập bằng đúng mật khẩu vừa đăng ký bị từ chối (HTTP 401): register bỏ qua mật khẩu người dùng và luôn gán mật khẩu demo
401 !== 200</t>
  </si>
  <si>
    <t xml:space="preserve">SEC-02</t>
  </si>
  <si>
    <t xml:space="preserve">không đăng nhập được bằng mật khẩu demo "123456" vào tài khoản có mật khẩu khác</t>
  </si>
  <si>
    <t xml:space="preserve">Đăng nhập thành công (HTTP 200) bằng "123456" vào tài khoản KHÔNG dùng mật khẩu này (cả ADMIN cũng vậy)
200 !== 401</t>
  </si>
  <si>
    <t xml:space="preserve">SEC-03</t>
  </si>
  <si>
    <t xml:space="preserve">không đăng nhập được bằng chính chuỗi băm của mật khẩu</t>
  </si>
  <si>
    <t xml:space="preserve">Mật khẩu đang được so sánh trực tiếp với chuỗi lưu trong CSDL (không dùng bcrypt.compare)
200 !== 401</t>
  </si>
  <si>
    <t xml:space="preserve">SEC-04</t>
  </si>
  <si>
    <t xml:space="preserve">sai mật khẩu bị từ chối (401)</t>
  </si>
  <si>
    <t xml:space="preserve">SEC-05</t>
  </si>
  <si>
    <t xml:space="preserve">thông báo lỗi đăng nhập không lộ mật khẩu và không cho dò tài khoản tồn tại</t>
  </si>
  <si>
    <t xml:space="preserve">Thông báo lỗi tiết lộ mật khẩu: "Mật khẩu không chính xác! (Mật khẩu mặc định demo là: 123456)"</t>
  </si>
  <si>
    <t xml:space="preserve">SEC-06</t>
  </si>
  <si>
    <t xml:space="preserve">đăng nhập thành công trả JWT để xác thực các API sau (API-01)</t>
  </si>
  <si>
    <t xml:space="preserve">Đăng nhập không phát hành token/JWT; AUTH_SECRET trong .env.local không được dùng ở đâu</t>
  </si>
  <si>
    <t xml:space="preserve">SEC-07</t>
  </si>
  <si>
    <t xml:space="preserve">chống SQL injection ở form đăng nhập</t>
  </si>
  <si>
    <t xml:space="preserve">SEC-08</t>
  </si>
  <si>
    <t xml:space="preserve">phản hồi đăng nhập không chứa password_hash</t>
  </si>
  <si>
    <t xml:space="preserve">EXT-01</t>
  </si>
  <si>
    <t xml:space="preserve">thiếu trường bắt buộc (email/SĐT/họ tên/mật khẩu) bị từ chối 400</t>
  </si>
  <si>
    <t xml:space="preserve">EXT-02</t>
  </si>
  <si>
    <t xml:space="preserve">biên tuổi: 15 tuổi bị từ chối, 16 tuổi được chấp nhận</t>
  </si>
  <si>
    <t xml:space="preserve">EXT-03</t>
  </si>
  <si>
    <t xml:space="preserve">không thể qua mặt kiểm tra tuổi bằng cách bỏ trống/gửi sai năm sinh</t>
  </si>
  <si>
    <t xml:space="preserve">Đăng ký thành công khi năm sinh = không gửi | "" | 0 | "abc" | null (bỏ qua giới hạn 16 tuổi)</t>
  </si>
  <si>
    <t xml:space="preserve">EXT-04</t>
  </si>
  <si>
    <t xml:space="preserve">email và số điện thoại sai định dạng bị từ chối</t>
  </si>
  <si>
    <t xml:space="preserve">API-01 yêu cầu kiểm tra dữ liệu đầu vào, nhưng các giá trị sau được chấp nhận: khong-phai-email / 0912345670 ; a@b / 0912345671 ; ok@test.vn / abcdefghij ; ok2@test.vn / 12</t>
  </si>
  <si>
    <t xml:space="preserve">EXT-05</t>
  </si>
  <si>
    <t xml:space="preserve">email có khoảng trắng thừa được cắt trước khi lưu (để đăng nhập lại được)</t>
  </si>
  <si>
    <t xml:space="preserve">Không đăng nhập lại được bằng email đã nhập (HTTP 401): register lưu nguyên khoảng trắng còn login thì cắt
401 !== 200</t>
  </si>
  <si>
    <t xml:space="preserve">EXT-06</t>
  </si>
  <si>
    <t xml:space="preserve">mã giới thiệu: hợp lệ thì liên kết; mã sai hoặc người giới thiệu bị khóa thì bỏ qua</t>
  </si>
  <si>
    <t xml:space="preserve">EXT-07</t>
  </si>
  <si>
    <t xml:space="preserve">dữ liệu có ký tự SQL được lưu nguyên văn, không phá CSDL</t>
  </si>
  <si>
    <t xml:space="preserve">CT-01</t>
  </si>
  <si>
    <t xml:space="preserve">email/SĐT trùng trả 409 (API-01)</t>
  </si>
  <si>
    <t xml:space="preserve">trùng email trả 400
400 !== 409</t>
  </si>
  <si>
    <t xml:space="preserve">CT-02</t>
  </si>
  <si>
    <t xml:space="preserve">đăng nhập tài khoản bị khóa trả 403 (API-01)</t>
  </si>
  <si>
    <t xml:space="preserve">trả 200
200 !== 403</t>
  </si>
  <si>
    <t xml:space="preserve">CT-06</t>
  </si>
  <si>
    <t xml:space="preserve">body JSON sai định dạng trả 400, không phải 500 kèm lỗi nội bộ</t>
  </si>
  <si>
    <t xml:space="preserve">Các route sau không kiểm soát JSON lỗi:
  POST /api/auth/login -&gt; 500 "Expected property name or '}' in JSON at position 1 (line 1 column 2)"
  POST /api/auth/register -&gt; 500 "Expected property name or '}' in JSON at position 1 (line 1 column 2)"
  POST /api/views/start -&gt; 500 "Expected property name or '}' in JSON at position 1 (line 1 column 2)"
  POST /api/views/complete -&gt; 500 "Expected property name or '}' in JSON at position 1 (line 1 column 2)"
  POST /api/redeem -&gt; 500 "Expected property name or '}' in JSON at position 1 (line 1 column 2)"
  POST /api/ads -&gt; 500 "Expected property name or '}' in JSON at position 1 (line 1 column 2)"</t>
  </si>
  <si>
    <t xml:space="preserve">SEC-09</t>
  </si>
  <si>
    <t xml:space="preserve">lỗi CSDL không được trả nguyên văn cho client (API-01: không tiết lộ thông tin nhạy cảm)</t>
  </si>
  <si>
    <t xml:space="preserve">Phản hồi lộ chi tiết nội bộ: {"success":false,"message":"ER_NO_SUCH_TABLE: Table 'youtube_xu.users' doesn't exist"}</t>
  </si>
  <si>
    <t xml:space="preserve">02-ads-list.test.mjs</t>
  </si>
  <si>
    <t xml:space="preserve">chỉ hiện quảng cáo ACTIVE, còn ngân sách và đang trong thời gian chạy</t>
  </si>
  <si>
    <t xml:space="preserve">lọc theo đối tượng mục tiêu: QC cho nữ 18–24 Hà Nội không hiện với nam 30 tuổi</t>
  </si>
  <si>
    <t xml:space="preserve">Nam 30 tuổi vẫn thấy quảng cáo nhắm nữ 18–24: API GET /api/ads không hề dùng bảng ad_targeting</t>
  </si>
  <si>
    <t xml:space="preserve">người đúng đối tượng (nữ 20 tuổi Hà Nội) vẫn thấy quảng cáo đó</t>
  </si>
  <si>
    <t xml:space="preserve">EXT-08</t>
  </si>
  <si>
    <t xml:space="preserve">ma trận đối tượng mục tiêu (giới tính × tuổi × tỉnh, kể cả giá trị biên)</t>
  </si>
  <si>
    <t xml:space="preserve">Sai đối tượng mục tiêu:
  nữ 17 tuổi HN (dưới biên): thấy (đúng ra phải không thấy)
  nữ 25 tuổi HN (trên biên): thấy (đúng ra phải không thấy)
  nam 20 tuổi HN (sai giới tính): thấy (đúng ra phải không thấy)
  nữ 20 tuổi TP.HCM (sai tỉnh): thấy (đúng ra phải không thấy)</t>
  </si>
  <si>
    <t xml:space="preserve">EXT-09</t>
  </si>
  <si>
    <t xml:space="preserve">quảng cáo nhắm nhiều khu vực (HOẶC): thấy khi thuộc một trong các khu vực</t>
  </si>
  <si>
    <t xml:space="preserve">lọc theo danh mục: chỉ hiện quảng cáo của danh mục được chọn</t>
  </si>
  <si>
    <t xml:space="preserve">quảng cáo đã xem hôm nay được đánh dấu để khóa nút xem</t>
  </si>
  <si>
    <t xml:space="preserve">lượt xem chưa hoàn tất (STARTED/INVALID) không làm quảng cáo bị khóa</t>
  </si>
  <si>
    <t xml:space="preserve">03-views.test.mjs</t>
  </si>
  <si>
    <t xml:space="preserve">xem đủ thời lượng: cộng xu, sinh dòng EARN, tăng spent_xu</t>
  </si>
  <si>
    <t xml:space="preserve">tua video (complete ngay sau start dù khai đủ thời lượng): không cộng xu, lượt chuyển INVALID</t>
  </si>
  <si>
    <t xml:space="preserve">Server cộng 10 xu dù mới trôi qua 2/30 giây: server tin số giây do client khai (watched_seconds), không tự đo
10 !== 0</t>
  </si>
  <si>
    <t xml:space="preserve">chuyển tab giữa chừng: thời gian ngoài tab không được tính (kiểm tra mã nguồn giao diện)</t>
  </si>
  <si>
    <t xml:space="preserve">page.js đếm ngược bằng setInterval và không xử lý chuyển tab/ẩn trang; server cũng không đo giờ nên không có lớp nào chặn</t>
  </si>
  <si>
    <t xml:space="preserve">complete với token giả: không cộng xu</t>
  </si>
  <si>
    <t xml:space="preserve">complete với token giả trả 409 (theo TC-01)</t>
  </si>
  <si>
    <t xml:space="preserve">trả 400
400 !== 409</t>
  </si>
  <si>
    <t xml:space="preserve">gọi complete sau 5 giây với QC 30 giây (khai thật 5s): không cộng xu, lượt INVALID</t>
  </si>
  <si>
    <t xml:space="preserve">gọi complete sau 5 giây dù khai đủ 30s: bị từ chối 409 NOT_WATCHED_ENOUGH</t>
  </si>
  <si>
    <t xml:space="preserve">Đã cộng 10 xu dù mới xem 5/30 giây
10 !== 0</t>
  </si>
  <si>
    <t xml:space="preserve">mã lỗi khi chưa xem đủ là 409 + NOT_WATCHED_ENOUGH (API-01), kể cả khi client khai thật</t>
  </si>
  <si>
    <t xml:space="preserve">dùng lại view_token đã hoàn tất: từ chối, không cộng thêm xu</t>
  </si>
  <si>
    <t xml:space="preserve">gửi hai yêu cầu complete cùng lúc cho một token: chỉ cộng xu một lần</t>
  </si>
  <si>
    <t xml:space="preserve">xem lại cùng quảng cáo trong ngày: bị từ chối, báo đã xem hôm nay</t>
  </si>
  <si>
    <t xml:space="preserve">xem lại cùng quảng cáo trong ngày trả 409 (theo TC-01)</t>
  </si>
  <si>
    <t xml:space="preserve">đạt trần 50 lượt/ngày: từ chối bắt đầu xem tiếp, báo đạt giới hạn</t>
  </si>
  <si>
    <t xml:space="preserve">đạt trần 50 lượt/ngày trả 429 (theo TC-01)</t>
  </si>
  <si>
    <t xml:space="preserve">trả 400
400 !== 429</t>
  </si>
  <si>
    <t xml:space="preserve">EXT-20</t>
  </si>
  <si>
    <t xml:space="preserve">biên 49 lượt: vẫn được xem lượt thứ 50 trong ngày</t>
  </si>
  <si>
    <t xml:space="preserve">đạt trần 500 xu/ngày: từ chối kèm thông báo trần xu</t>
  </si>
  <si>
    <t xml:space="preserve">khoảng nghỉ 10 giây: vừa xem xong, bấm xem QC khác sau vài giây bị từ chối</t>
  </si>
  <si>
    <t xml:space="preserve">Cho bắt đầu lượt mới ngay sau khi vừa hoàn tất; SYS-02 yêu cầu nghỉ tối thiểu 10 giây</t>
  </si>
  <si>
    <t xml:space="preserve">EXT-11</t>
  </si>
  <si>
    <t xml:space="preserve">không thể vượt trần 50 lượt bằng cách bắt đầu nhiều lượt rồi hoàn tất cùng lúc</t>
  </si>
  <si>
    <t xml:space="preserve">52 lượt hoàn tất trong một ngày (trần 50): complete không kiểm tra lại hạn mức, start chỉ đếm lượt đã COMPLETED</t>
  </si>
  <si>
    <t xml:space="preserve">mất kết nối &gt;30s: server phải nhận heartbeat để đánh INVALID (cần endpoint /views/heartbeat)</t>
  </si>
  <si>
    <t xml:space="preserve">Chưa có /views/heartbeat nên server không thể biết người xem đã rời đi</t>
  </si>
  <si>
    <t xml:space="preserve">sau khi lượt bị INVALID người xem được xem lại quảng cáo đó</t>
  </si>
  <si>
    <t xml:space="preserve">hết hẳn ngân sách khi bắt đầu: báo quảng cáo đã hết lượt</t>
  </si>
  <si>
    <t xml:space="preserve">ngân sách còn ít hơn xu thưởng (còn 5, thưởng 10): phải từ chối vì hoàn tất sẽ vượt ngân sách</t>
  </si>
  <si>
    <t xml:space="preserve">Cho bắt đầu xem dù ngân sách còn 5 xu &lt; xu thưởng 10 xu</t>
  </si>
  <si>
    <t xml:space="preserve">EXT-10</t>
  </si>
  <si>
    <t xml:space="preserve">biên ngân sách: còn đúng bằng xu thưởng thì vẫn được xem</t>
  </si>
  <si>
    <t xml:space="preserve">hai người cùng bắt đầu xem lượt ngân sách cuối: chỉ một người được giữ chỗ</t>
  </si>
  <si>
    <t xml:space="preserve">2/2 người được bắt đầu xem: start không giữ chỗ ngân sách (spent_xu chỉ tăng khi complete)
2 !== 1</t>
  </si>
  <si>
    <t xml:space="preserve">cả hai xem hết thì không ai bị lỗi và spent_xu không vượt budget_xu</t>
  </si>
  <si>
    <t xml:space="preserve">Người xem hết video nhưng bị lỗi khi nhận xu (ngân sách không được giữ chỗ từ đầu)</t>
  </si>
  <si>
    <t xml:space="preserve">EXT-12</t>
  </si>
  <si>
    <t xml:space="preserve">không thể bắt đầu xem quảng cáo không ACTIVE hoặc không tồn tại</t>
  </si>
  <si>
    <t xml:space="preserve">EXT-13</t>
  </si>
  <si>
    <t xml:space="preserve">không thể bắt đầu xem quảng cáo ngoài khoảng ngày chạy (đã hết hạn / chưa tới ngày)</t>
  </si>
  <si>
    <t xml:space="preserve">start chỉ kiểm tra status/ngân sách, không kiểm tra start_date/end_date (danh sách thì có)</t>
  </si>
  <si>
    <t xml:space="preserve">EXT-14</t>
  </si>
  <si>
    <t xml:space="preserve">tài khoản bị khóa không bắt đầu xem được (403)</t>
  </si>
  <si>
    <t xml:space="preserve">EXT-15</t>
  </si>
  <si>
    <t xml:space="preserve">tài khoản bị khóa giữa chừng thì không hoàn tất nhận xu được</t>
  </si>
  <si>
    <t xml:space="preserve">Tài khoản đã bị khóa vẫn nhận được xu: complete không kiểm tra account_status
10 !== 0</t>
  </si>
  <si>
    <t xml:space="preserve">EXT-16</t>
  </si>
  <si>
    <t xml:space="preserve">token quá cũ (2 giờ) không còn hoàn tất được</t>
  </si>
  <si>
    <t xml:space="preserve">Token tồn tại vô thời hạn: không có hạn dùng cho view_token
10 !== 0</t>
  </si>
  <si>
    <t xml:space="preserve">EXT-17</t>
  </si>
  <si>
    <t xml:space="preserve">thiếu tham số bị từ chối 400</t>
  </si>
  <si>
    <t xml:space="preserve">SEC-10</t>
  </si>
  <si>
    <t xml:space="preserve">không thể hoàn tất lượt xem bằng token của người khác để nhận xu về mình</t>
  </si>
  <si>
    <t xml:space="preserve">User 9 nhận 10 xu bằng token của user 5: complete không kiểm tra view thuộc về ai
10 !== 0</t>
  </si>
  <si>
    <t xml:space="preserve">SEC-11</t>
  </si>
  <si>
    <t xml:space="preserve">không thể tăng thưởng bằng cách khai ad_id khác với quảng cáo đã bắt đầu xem</t>
  </si>
  <si>
    <t xml:space="preserve">Nhận 20 xu thay vì tối đa 5 xu: complete tin ad_id do client gửi</t>
  </si>
  <si>
    <t xml:space="preserve">SEC-12</t>
  </si>
  <si>
    <t xml:space="preserve">lượt đã bị đánh INVALID thì không thể "hồi sinh" bằng một yêu cầu complete khác</t>
  </si>
  <si>
    <t xml:space="preserve">Token INVALID vẫn nhận được xu: complete chỉ chặn trạng thái COMPLETED
10 !== 0</t>
  </si>
  <si>
    <t xml:space="preserve">EXT-18</t>
  </si>
  <si>
    <t xml:space="preserve">các thao tác xem quảng cáo không để lại transaction bị treo</t>
  </si>
  <si>
    <t xml:space="preserve">04-wallet-redeem.test.mjs</t>
  </si>
  <si>
    <t xml:space="preserve">lịch sử giao dịch khớp số dư: mỗi dòng có loại, số xu, số dư sau; dòng mới nhất khớp số dư ví</t>
  </si>
  <si>
    <t xml:space="preserve">số dư không âm: trừ 200 xu khi chỉ có 100 xu bị từ chối, số dư vẫn 100</t>
  </si>
  <si>
    <t xml:space="preserve">EXT-21</t>
  </si>
  <si>
    <t xml:space="preserve">ví của người dùng không tồn tại trả 404</t>
  </si>
  <si>
    <t xml:space="preserve">đổi quà ≤ 50.000đ: trừ xu, tự duyệt, trả mã thẻ, sinh dòng REDEEM</t>
  </si>
  <si>
    <t xml:space="preserve">không đủ xu: báo thiếu 500 xu, không trừ xu, không tạo đơn</t>
  </si>
  <si>
    <t xml:space="preserve">hết hàng: không đổi được, không trừ xu; danh mục vẫn trả stock_qty = 0 để giao diện khóa nút</t>
  </si>
  <si>
    <t xml:space="preserve">OTP sai 3 lần khi đổi quà bị khóa 15 phút (cần endpoint xác nhận OTP)</t>
  </si>
  <si>
    <t xml:space="preserve">Chưa có /redemptions/confirm: đổi quà trừ xu ngay, không có bước xác nhận OTP (UC-V04)</t>
  </si>
  <si>
    <t xml:space="preserve">tối đa 3 đơn/ngày: đơn thứ 4 bị từ chối 429</t>
  </si>
  <si>
    <t xml:space="preserve">Đơn thứ 4 trong ngày vẫn được chấp nhận (4 đơn): chưa giới hạn số đơn/ngày</t>
  </si>
  <si>
    <t xml:space="preserve">đơn &gt; 50.000đ chờ duyệt: PENDING, chưa có mã thẻ, xu đã trừ</t>
  </si>
  <si>
    <t xml:space="preserve">EXT-22</t>
  </si>
  <si>
    <t xml:space="preserve">biên 50.000đ: đúng 50.000đ tự duyệt, 50.001đ chờ Admin duyệt</t>
  </si>
  <si>
    <t xml:space="preserve">EXT-23</t>
  </si>
  <si>
    <t xml:space="preserve">yêu cầu đổi quà không hợp lệ: thiếu tham số 400, quà không tồn tại/đã đóng 404, tài khoản khóa 403</t>
  </si>
  <si>
    <t xml:space="preserve">Admin từ chối đơn: hoàn xu bằng REFUND, trả hàng về kho, đơn REJECTED</t>
  </si>
  <si>
    <t xml:space="preserve">lý do từ chối được lưu và người xem nhìn thấy được</t>
  </si>
  <si>
    <t xml:space="preserve">Lý do Admin nhập không được lưu (bảng redemptions không có cột lý do, route bỏ qua trường reason) nên người xem không được thông báo vì sao bị từ chối</t>
  </si>
  <si>
    <t xml:space="preserve">Admin duyệt đơn lớn: cấp mã thẻ, giữ nguyên xu đã trừ, không hoàn xu</t>
  </si>
  <si>
    <t xml:space="preserve">EXT-24</t>
  </si>
  <si>
    <t xml:space="preserve">đơn đã xử lý không xử lý lại được: không hoàn xu hai lần, không đổi từ REJECTED sang APPROVED</t>
  </si>
  <si>
    <t xml:space="preserve">EXT-25</t>
  </si>
  <si>
    <t xml:space="preserve">hai Admin duyệt và từ chối cùng một đơn cùng lúc: chỉ một thao tác có hiệu lực</t>
  </si>
  <si>
    <t xml:space="preserve">EXT-26</t>
  </si>
  <si>
    <t xml:space="preserve">hành động không hợp lệ và đơn không tồn tại</t>
  </si>
  <si>
    <t xml:space="preserve">CT-07</t>
  </si>
  <si>
    <t xml:space="preserve">đơn đã được xử lý trả 409 (API-01)</t>
  </si>
  <si>
    <t xml:space="preserve">CT-08</t>
  </si>
  <si>
    <t xml:space="preserve">thiếu xu / hết hàng trả 409 (API-01)</t>
  </si>
  <si>
    <t xml:space="preserve">thiếu xu trả 400
400 !== 409</t>
  </si>
  <si>
    <t xml:space="preserve">EXT-27</t>
  </si>
  <si>
    <t xml:space="preserve">hai yêu cầu đổi cùng một mã quà cuối cùng: chỉ một người được đổi</t>
  </si>
  <si>
    <t xml:space="preserve">EXT-28</t>
  </si>
  <si>
    <t xml:space="preserve">bấm đổi quà hai lần cùng lúc khi chỉ đủ xu cho một lần: số dư không âm, chỉ một đơn</t>
  </si>
  <si>
    <t xml:space="preserve">EXT-29</t>
  </si>
  <si>
    <t xml:space="preserve">CSDL lỗi giữa chừng khi đổi quà: rollback hoàn toàn (xu, kho, đơn đều nguyên vẹn)</t>
  </si>
  <si>
    <t xml:space="preserve">EXT-30</t>
  </si>
  <si>
    <t xml:space="preserve">CSDL lỗi giữa chừng khi hoàn tất xem quảng cáo: lượt vẫn STARTED, không cộng xu, không tăng spent_xu</t>
  </si>
  <si>
    <t xml:space="preserve">EXT-31</t>
  </si>
  <si>
    <t xml:space="preserve">CSDL lỗi khi từ chối đơn: đơn vẫn PENDING, chưa hoàn xu, chưa trả kho</t>
  </si>
  <si>
    <t xml:space="preserve">05-ads-admin.test.mjs</t>
  </si>
  <si>
    <t xml:space="preserve">tạo chiến dịch hợp lệ: trạng thái PENDING và có cấu hình đối tượng mục tiêu</t>
  </si>
  <si>
    <t xml:space="preserve">thời lượng ngoài 5–60 giây bị từ chối (90 giây, biên 4 và 61); biên 5 và 60 được chấp nhận</t>
  </si>
  <si>
    <t xml:space="preserve">ngày kết thúc trước ngày bắt đầu: báo lỗi, chặn lưu; cùng ngày thì hợp lệ</t>
  </si>
  <si>
    <t xml:space="preserve">EXT-32</t>
  </si>
  <si>
    <t xml:space="preserve">dữ liệu chiến dịch sai kiểu/thiếu bị từ chối 4xx (không để lọt xuống CSDL gây lỗi 500)</t>
  </si>
  <si>
    <t xml:space="preserve">API-01 yêu cầu kiểm tra dữ liệu đầu vào:
  thời lượng không phải số -&gt; HTTP 500
  ngân sách không phải số -&gt; HTTP 500
  thiếu ngày bắt đầu -&gt; HTTP 500
  thiếu ngày kết thúc -&gt; HTTP 500
  danh mục không tồn tại -&gt; HTTP 500
  video_url không phải link YouTube -&gt; HTTP 200</t>
  </si>
  <si>
    <t xml:space="preserve">EXT-33</t>
  </si>
  <si>
    <t xml:space="preserve">xu thưởng mỗi lượt xem không được vượt khung quy định theo thời lượng (5/10/20)</t>
  </si>
  <si>
    <t xml:space="preserve">Nhà quảng cáo tự đặt thưởng 1000000 xu/lượt (khung quy định cho 30 giây là 10 xu): có thể "in" xu hàng loạt</t>
  </si>
  <si>
    <t xml:space="preserve">EXT-34</t>
  </si>
  <si>
    <t xml:space="preserve">gửi duyệt phải giữ chỗ ngân sách khỏi ví nhà quảng cáo (SYS-02 UC-04)</t>
  </si>
  <si>
    <t xml:space="preserve">Ngân sách chiến dịch không bị trừ/giữ chỗ khi gửi duyệt
50000 !== 45000</t>
  </si>
  <si>
    <t xml:space="preserve">Admin duyệt: PENDING → ACTIVE, lưu reviewed_by, quảng cáo hiển thị cho người xem</t>
  </si>
  <si>
    <t xml:space="preserve">Admin từ chối kèm lý do: REJECTED, lưu lý do, không hiển thị cho người xem</t>
  </si>
  <si>
    <t xml:space="preserve">từ chối thì hoàn ngân sách đã giữ về ví nhà quảng cáo</t>
  </si>
  <si>
    <t xml:space="preserve">Không có ngân sách giữ chỗ khi gửi duyệt nên không có gì để hoàn (xem EXT-34)
50000 !== 45000</t>
  </si>
  <si>
    <t xml:space="preserve">EXT-35</t>
  </si>
  <si>
    <t xml:space="preserve">chuyển trạng thái không hợp lệ bị từ chối 409 và không đổi trạng thái (REJECTED/ENDED → ACTIVE, PENDING → PAUSED)</t>
  </si>
  <si>
    <t xml:space="preserve">API-01: 409 khi trạng thái không hợp lệ:
  QC #6: REJECTED → ACTIVE được chấp nhận (HTTP 200)
  QC #5: ENDED → ACTIVE được chấp nhận (HTTP 200)
  QC #4: PENDING → PAUSED được chấp nhận (HTTP 200)</t>
  </si>
  <si>
    <t xml:space="preserve">EXT-36</t>
  </si>
  <si>
    <t xml:space="preserve">cập nhật trạng thái quảng cáo không tồn tại trả 404</t>
  </si>
  <si>
    <t xml:space="preserve">trả 200 Đã cập nhật trạng thái quảng cáo sang ACTIVE thành công!
200 !== 404</t>
  </si>
  <si>
    <t xml:space="preserve">EXT-37</t>
  </si>
  <si>
    <t xml:space="preserve">trạng thái không hợp lệ (chuỗi lạ) bị từ chối 400</t>
  </si>
  <si>
    <t xml:space="preserve">EXT-38</t>
  </si>
  <si>
    <t xml:space="preserve">từ chối quảng cáo phải có lý do (API-01, UI-01)</t>
  </si>
  <si>
    <t xml:space="preserve">Từ chối không kèm lý do vẫn được chấp nhận
200 !== 400</t>
  </si>
  <si>
    <t xml:space="preserve">Viewer gọi API danh sách quảng cáo của Admin: bị từ chối 403</t>
  </si>
  <si>
    <t xml:space="preserve">Viewer (user 5) nhận HTTP 200 và 1 quảng cáo: role do client tự khai trên query string (?role=ADMIN)
200 !== 403</t>
  </si>
  <si>
    <t xml:space="preserve">có endpoint báo cáo hiệu quả chiến dịch /ads/{id}/report</t>
  </si>
  <si>
    <t xml:space="preserve">Chưa có endpoint báo cáo chiến dịch (UC-AV05) nên không thể kiểm tra quyền xem báo cáo</t>
  </si>
  <si>
    <t xml:space="preserve">Nhà QC A không xem được chiến dịch của Nhà QC B (403)</t>
  </si>
  <si>
    <t xml:space="preserve">Nhà QC #2 đọc được 3 chiến dịch của Nhà QC #3 (HTTP 200)
200 !== 403</t>
  </si>
  <si>
    <t xml:space="preserve">cảnh báo nhiều tài khoản cùng thiết bị: đủ 4 tài khoản, không báo nhầm người khác</t>
  </si>
  <si>
    <t xml:space="preserve">7/7 người xem KHÔNG dùng chung thiết bị cũng bị liệt kê: danh sách "nghi vấn" đang trả TẤT CẢ người xem, không có tiêu chí device_id</t>
  </si>
  <si>
    <t xml:space="preserve">Admin vô hiệu &amp; thu hồi 500 xu: trừ bằng ADJUST, số dư không âm</t>
  </si>
  <si>
    <t xml:space="preserve">Admin vô hiệu: các lượt xem nghi vấn chuyển sang INVALID</t>
  </si>
  <si>
    <t xml:space="preserve">Các lượt xem vẫn COMPLETED: REVOKE_XU chỉ trừ xu, không vô hiệu lượt xem (API-01 có hành động "invalidate")</t>
  </si>
  <si>
    <t xml:space="preserve">thu hồi khi số dư không đủ (200 &lt; 500): số dư về 0, không âm</t>
  </si>
  <si>
    <t xml:space="preserve">thu hồi thiếu: phần thiếu (300 xu) được ghi vào ghi chú</t>
  </si>
  <si>
    <t xml:space="preserve">Ghi chú "Admin thu hồi xu gian lận: Gian lận" không nêu phần thiếu 300 xu</t>
  </si>
  <si>
    <t xml:space="preserve">khóa tài khoản: trạng thái LOCKED</t>
  </si>
  <si>
    <t xml:space="preserve">tài khoản đã khóa không đăng nhập được</t>
  </si>
  <si>
    <t xml:space="preserve">Tài khoản vừa bị khóa vẫn đăng nhập thành công (success=true)</t>
  </si>
  <si>
    <t xml:space="preserve">EXT-39</t>
  </si>
  <si>
    <t xml:space="preserve">bấm "Khóa" hai lần liên tiếp (double-click) vẫn giữ trạng thái LOCKED</t>
  </si>
  <si>
    <t xml:space="preserve">TOGGLE_LOCK đảo trạng thái: gửi lặp sẽ vô tình mở khóa tài khoản gian lận
'ACTIVE' !== 'LOCKED'</t>
  </si>
  <si>
    <t xml:space="preserve">EXT-40</t>
  </si>
  <si>
    <t xml:space="preserve">hành động Admin với đối tượng/tham số sai: 404 hoặc 400, không đổi dữ liệu</t>
  </si>
  <si>
    <t xml:space="preserve">EXT-41</t>
  </si>
  <si>
    <t xml:space="preserve">CSDL lỗi khi thu hồi xu: rollback, số dư nguyên vẹn</t>
  </si>
  <si>
    <t xml:space="preserve">xuất báo cáo Excel xu phát hành / đã đổi / chi phí QC (cần endpoint /admin/reports/export)</t>
  </si>
  <si>
    <t xml:space="preserve">Chưa có endpoint xuất báo cáo Excel (UC-AD06)</t>
  </si>
  <si>
    <t xml:space="preserve">EXT-42</t>
  </si>
  <si>
    <t xml:space="preserve">thống kê tổng quan khớp dữ liệu thực</t>
  </si>
  <si>
    <t xml:space="preserve">SEC-13</t>
  </si>
  <si>
    <t xml:space="preserve">06-security.test.mjs</t>
  </si>
  <si>
    <t xml:space="preserve">POST /api/redeem yêu cầu đăng nhập (không token / token giả → 401)</t>
  </si>
  <si>
    <t xml:space="preserve">không có token -&gt; HTTP 200
200 !== 401</t>
  </si>
  <si>
    <t xml:space="preserve">SEC-14</t>
  </si>
  <si>
    <t xml:space="preserve">POST /api/views/start yêu cầu đăng nhập (không token / token giả → 401)</t>
  </si>
  <si>
    <t xml:space="preserve">SEC-15</t>
  </si>
  <si>
    <t xml:space="preserve">POST /api/views/complete yêu cầu đăng nhập (không token / token giả → 401)</t>
  </si>
  <si>
    <t xml:space="preserve">không có token -&gt; HTTP 400
400 !== 401</t>
  </si>
  <si>
    <t xml:space="preserve">SEC-16</t>
  </si>
  <si>
    <t xml:space="preserve">GET /api/wallet yêu cầu đăng nhập (không token / token giả → 401)</t>
  </si>
  <si>
    <t xml:space="preserve">SEC-17</t>
  </si>
  <si>
    <t xml:space="preserve">GET /api/auth/me yêu cầu đăng nhập (không token / token giả → 401)</t>
  </si>
  <si>
    <t xml:space="preserve">SEC-18</t>
  </si>
  <si>
    <t xml:space="preserve">GET /api/affiliate yêu cầu đăng nhập (không token / token giả → 401)</t>
  </si>
  <si>
    <t xml:space="preserve">SEC-19</t>
  </si>
  <si>
    <t xml:space="preserve">GET /api/redemptions yêu cầu đăng nhập (không token / token giả → 401)</t>
  </si>
  <si>
    <t xml:space="preserve">SEC-20</t>
  </si>
  <si>
    <t xml:space="preserve">GET /api/ads?role=ADMIN yêu cầu đăng nhập (không token / token giả → 401)</t>
  </si>
  <si>
    <t xml:space="preserve">SEC-21</t>
  </si>
  <si>
    <t xml:space="preserve">POST /api/ads yêu cầu đăng nhập (không token / token giả → 401)</t>
  </si>
  <si>
    <t xml:space="preserve">SEC-22</t>
  </si>
  <si>
    <t xml:space="preserve">PATCH /api/ads/[id]/status yêu cầu đăng nhập (không token / token giả → 401)</t>
  </si>
  <si>
    <t xml:space="preserve">SEC-23</t>
  </si>
  <si>
    <t xml:space="preserve">PATCH /api/redemptions/[id]/process yêu cầu đăng nhập (không token / token giả → 401)</t>
  </si>
  <si>
    <t xml:space="preserve">SEC-24</t>
  </si>
  <si>
    <t xml:space="preserve">POST /api/rewards yêu cầu đăng nhập (không token / token giả → 401)</t>
  </si>
  <si>
    <t xml:space="preserve">SEC-25</t>
  </si>
  <si>
    <t xml:space="preserve">GET /api/admin/stats yêu cầu đăng nhập (không token / token giả → 401)</t>
  </si>
  <si>
    <t xml:space="preserve">SEC-26</t>
  </si>
  <si>
    <t xml:space="preserve">GET /api/admin/fraud yêu cầu đăng nhập (không token / token giả → 401)</t>
  </si>
  <si>
    <t xml:space="preserve">SEC-27</t>
  </si>
  <si>
    <t xml:space="preserve">POST /api/admin/fraud yêu cầu đăng nhập (không token / token giả → 401)</t>
  </si>
  <si>
    <t xml:space="preserve">SEC-28</t>
  </si>
  <si>
    <t xml:space="preserve">Viewer không đọc được ví/lịch sử giao dịch của người khác</t>
  </si>
  <si>
    <t xml:space="preserve">Viewer #5 đọc được ví của #8 (số dư 2450, 0 giao dịch): server tin ?userId
200 !== 403</t>
  </si>
  <si>
    <t xml:space="preserve">SEC-29</t>
  </si>
  <si>
    <t xml:space="preserve">Viewer không đọc được hồ sơ cá nhân (email, SĐT, số dư) của người khác</t>
  </si>
  <si>
    <t xml:space="preserve">Viewer #5 đọc được hồ sơ #6: nhi.lt@gmail.com / 0900000006
200 !== 403</t>
  </si>
  <si>
    <t xml:space="preserve">SEC-30</t>
  </si>
  <si>
    <t xml:space="preserve">Viewer không xem được mã thẻ/voucher của người khác (qua ?role=ADMIN hoặc ?userId=)</t>
  </si>
  <si>
    <t xml:space="preserve">Mã thẻ CARD-7369-AEF23724 của người khác bị lộ cho Viewer #5 qua: {"role":"ADMIN"} ; {"userId":11} (mã thẻ = tiền thật)</t>
  </si>
  <si>
    <t xml:space="preserve">SEC-31</t>
  </si>
  <si>
    <t xml:space="preserve">Viewer không thể đổi quà bằng xu của người khác (sửa user_id trong request)</t>
  </si>
  <si>
    <t xml:space="preserve">Viewer #5 trừ xu của nạn nhân và nhận mã CARD-2703-D0C73A9D: redeem tin user_id trong body
500 !== 1500</t>
  </si>
  <si>
    <t xml:space="preserve">SEC-32</t>
  </si>
  <si>
    <t xml:space="preserve">Viewer không thể tự tạo quà tặng (ví dụ thẻ 500.000đ giá 1 xu)</t>
  </si>
  <si>
    <t xml:space="preserve">Viewer tạo được quà (HTTP 200) rồi có thể tự đổi với giá 1 xu
200 !== 403</t>
  </si>
  <si>
    <t xml:space="preserve">SEC-33</t>
  </si>
  <si>
    <t xml:space="preserve">Nhà quảng cáo không thể tự duyệt quảng cáo của chính mình</t>
  </si>
  <si>
    <t xml:space="preserve">Nhà QC #2 tự chuyển QC #4 sang ACTIVE (HTTP 200), bỏ qua bước Admin duyệt
200 !== 403</t>
  </si>
  <si>
    <t xml:space="preserve">SEC-34</t>
  </si>
  <si>
    <t xml:space="preserve">Viewer không thể khóa tài khoản hoặc thu hồi xu của người khác</t>
  </si>
  <si>
    <t xml:space="preserve">Viewer #5 khóa được #8 (HTTP 200) và thu hồi xu (HTTP 200): trạng thái=LOCKED, số dư=1450</t>
  </si>
  <si>
    <t xml:space="preserve">SEC-35</t>
  </si>
  <si>
    <t xml:space="preserve">Viewer không thể tự duyệt đơn đổi quà lớn của chính mình để lấy mã thẻ</t>
  </si>
  <si>
    <t xml:space="preserve">Người xem tự duyệt đơn của mình (HTTP 200) và nhận mã VOUCHER-1816-5DE0AC4C
200 !== 403</t>
  </si>
  <si>
    <t xml:space="preserve">EXT-43</t>
  </si>
  <si>
    <t xml:space="preserve">tạo quà thiếu trường hoặc giá trị vô lý bị từ chối 4xx</t>
  </si>
  <si>
    <t xml:space="preserve">POST /api/rewards không kiểm tra dữ liệu đầu vào:
  thiếu tên quà -&gt; HTTP 500
  thiếu loại quà -&gt; HTTP 500
  xu_cost âm -&gt; HTTP 500
  xu_cost bằng 0 -&gt; HTTP 500
  mệnh giá âm -&gt; HTTP 200
  tồn kho âm -&gt; HTTP 500</t>
  </si>
  <si>
    <t xml:space="preserve">INT-01</t>
  </si>
  <si>
    <t xml:space="preserve">07-integrity.test.mjs</t>
  </si>
  <si>
    <t xml:space="preserve">script CSDL có đủ cột mà các câu INSERT/UPDATE trong code đang dùng</t>
  </si>
  <si>
    <t xml:space="preserve">Code dùng cột không có trong youtube_xu_database.sql: users.referral_code -&gt; đăng ký tài khoản (register) sẽ lỗi 500 trên CSDL dựng từ script này</t>
  </si>
  <si>
    <t xml:space="preserve">INT-02</t>
  </si>
  <si>
    <t xml:space="preserve">script CSDL chạy được trên MySQL (code dùng mysql2, .env.local trỏ tới MySQL của XAMPP)</t>
  </si>
  <si>
    <t xml:space="preserve">youtube_xu_database.sql viết bằng T-SQL (SQL Server), chứa: IDENTITY(...), lệnh GO, NVARCHAR, SET IDENTITY_INSERT, IF DB_ID(...) -&gt; không chạy được trên MySQL; thư mục migrations/ đang trống</t>
  </si>
  <si>
    <t xml:space="preserve">INT-03</t>
  </si>
  <si>
    <t xml:space="preserve">sau kịch bản hỗn hợp (xem QC, hoa hồng, đổi quà, từ chối, thu hồi): sổ cái khớp số dư, ngân sách khớp lượt xem</t>
  </si>
  <si>
    <t xml:space="preserve">EXT-44</t>
  </si>
  <si>
    <t xml:space="preserve">ngày áp dụng hạn mức 50 lượt/500 xu tính theo giờ Việt Nam (UTC+7), không theo UTC</t>
  </si>
  <si>
    <t xml:space="preserve">Lúc 01:30 ngày 29/10 (giờ VN) lượt xem được ghi vào ngày 2026-10-28: code dùng new Date().toISOString() (UTC) nên hạn mức "ngày" chỉ làm mới lúc 07:00 sáng</t>
  </si>
  <si>
    <t xml:space="preserve">AFF-01</t>
  </si>
  <si>
    <t xml:space="preserve">08-affiliate.test.mjs</t>
  </si>
  <si>
    <t xml:space="preserve">bạn bè xem xong quảng cáo: người giới thiệu nhận 20% (tối thiểu 1 xu) bằng dòng BONUS, sổ cái khớp</t>
  </si>
  <si>
    <t xml:space="preserve">AFF-02</t>
  </si>
  <si>
    <t xml:space="preserve">bạn bè đổi quà: người giới thiệu nhận 5% (tối thiểu 50 xu)</t>
  </si>
  <si>
    <t xml:space="preserve">AFF-03</t>
  </si>
  <si>
    <t xml:space="preserve">người giới thiệu bị khóa thì không nhận hoa hồng</t>
  </si>
  <si>
    <t xml:space="preserve">AFF-04</t>
  </si>
  <si>
    <t xml:space="preserve">đơn bị Admin từ chối (đã hoàn xu cho người đổi) thì hoa hồng của người giới thiệu cũng phải bị thu hồi</t>
  </si>
  <si>
    <t xml:space="preserve">Người giới thiệu vẫn giữ 500 xu hoa hồng của đơn đã bị hủy -&gt; mỗi vòng "đổi rồi hủy" tạo xu từ không khí (kết hợp thiếu xác thực thì lặp vô hạn)
500 !== 0</t>
  </si>
  <si>
    <t xml:space="preserve">AFF-05</t>
  </si>
  <si>
    <t xml:space="preserve">trang giới thiệu: tổng hoa hồng khớp ví người giới thiệu</t>
  </si>
  <si>
    <t xml:space="preserve">AFF-06</t>
  </si>
  <si>
    <t xml:space="preserve">hoa hồng từng người bạn không bị nhân đôi khi hai bạn trùng họ tên</t>
  </si>
  <si>
    <t xml:space="preserve">Bạn #13 chưa xem gì nhưng hiển thị 2 xu hoa hồng: truy vấn ghép theo họ tên trong ghi chú (LIKE '%[tên]%')
2 !== 0</t>
  </si>
</sst>
</file>

<file path=xl/styles.xml><?xml version="1.0" encoding="utf-8"?>
<styleSheet xmlns="http://schemas.openxmlformats.org/spreadsheetml/2006/main">
  <numFmts count="4">
    <numFmt numFmtId="164" formatCode="General"/>
    <numFmt numFmtId="165" formatCode="0"/>
    <numFmt numFmtId="166" formatCode="0.0%"/>
    <numFmt numFmtId="167" formatCode="0%"/>
  </numFmts>
  <fonts count="9">
    <font>
      <sz val="11"/>
      <color theme="1"/>
      <name val="Calibri"/>
      <family val="2"/>
      <charset val="1"/>
    </font>
    <font>
      <sz val="10"/>
      <name val="Arial"/>
      <family val="0"/>
    </font>
    <font>
      <sz val="10"/>
      <name val="Arial"/>
      <family val="0"/>
    </font>
    <font>
      <sz val="10"/>
      <name val="Arial"/>
      <family val="0"/>
    </font>
    <font>
      <b val="true"/>
      <sz val="11"/>
      <color rgb="FFFFFFFF"/>
      <name val="Calibri"/>
      <family val="0"/>
      <charset val="1"/>
    </font>
    <font>
      <sz val="11"/>
      <name val="Calibri"/>
      <family val="0"/>
      <charset val="1"/>
    </font>
    <font>
      <b val="true"/>
      <sz val="14"/>
      <color rgb="FFC00000"/>
      <name val="Calibri"/>
      <family val="0"/>
      <charset val="1"/>
    </font>
    <font>
      <b val="true"/>
      <sz val="12"/>
      <color rgb="FFC00000"/>
      <name val="Calibri"/>
      <family val="0"/>
      <charset val="1"/>
    </font>
    <font>
      <b val="true"/>
      <sz val="11"/>
      <name val="Calibri"/>
      <family val="0"/>
      <charset val="1"/>
    </font>
  </fonts>
  <fills count="3">
    <fill>
      <patternFill patternType="none"/>
    </fill>
    <fill>
      <patternFill patternType="gray125"/>
    </fill>
    <fill>
      <patternFill patternType="solid">
        <fgColor rgb="FFC00000"/>
        <bgColor rgb="FF9C0006"/>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4" fillId="2" borderId="1" xfId="0" applyFont="true" applyBorder="true" applyAlignment="true" applyProtection="false">
      <alignment horizontal="left" vertical="center" textRotation="0" wrapText="tru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7" fontId="5"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general" vertical="center" textRotation="0" wrapText="true" indent="0" shrinkToFit="false"/>
      <protection locked="true" hidden="false"/>
    </xf>
    <xf numFmtId="165" fontId="5" fillId="0" borderId="1" xfId="0" applyFont="true" applyBorder="true" applyAlignment="true" applyProtection="false">
      <alignment horizontal="center" vertical="center" textRotation="0" wrapText="false" indent="0" shrinkToFit="false"/>
      <protection locked="true" hidden="false"/>
    </xf>
    <xf numFmtId="166" fontId="5" fillId="0" borderId="1" xfId="0" applyFont="true" applyBorder="true" applyAlignment="true" applyProtection="false">
      <alignment horizontal="center" vertical="center" textRotation="0" wrapText="false" indent="0" shrinkToFit="false"/>
      <protection locked="true" hidden="false"/>
    </xf>
    <xf numFmtId="167" fontId="5" fillId="0" borderId="1" xfId="0" applyFont="true" applyBorder="true" applyAlignment="true" applyProtection="false">
      <alignment horizontal="center"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7" fontId="8"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3">
    <dxf>
      <fill>
        <patternFill patternType="solid">
          <fgColor rgb="FFC00000"/>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006100"/>
          <bgColor rgb="FF000000"/>
        </patternFill>
      </fill>
    </dxf>
    <dxf>
      <fill>
        <patternFill patternType="solid">
          <fgColor rgb="FF9C0006"/>
          <bgColor rgb="FF0000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595959"/>
      </font>
      <fill>
        <patternFill>
          <bgColor rgb="FFEDEDED"/>
        </patternFill>
      </fill>
    </dxf>
    <dxf>
      <font>
        <b val="1"/>
        <color rgb="FF006100"/>
      </font>
      <fill>
        <patternFill>
          <bgColor rgb="FFC6EFCE"/>
        </patternFill>
      </fill>
    </dxf>
    <dxf>
      <font>
        <b val="1"/>
        <color rgb="FF9C0006"/>
      </font>
      <fill>
        <patternFill>
          <bgColor rgb="FFFFC7CE"/>
        </patternFill>
      </fill>
    </dxf>
    <dxf>
      <fill>
        <patternFill patternType="solid">
          <fgColor rgb="FFE2EFDA"/>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375623"/>
          <bgColor rgb="FF000000"/>
        </patternFill>
      </fill>
    </dxf>
    <dxf>
      <fill>
        <patternFill patternType="solid">
          <fgColor rgb="FF7F6000"/>
          <bgColor rgb="FF000000"/>
        </patternFill>
      </fill>
    </dxf>
    <dxf>
      <fill>
        <patternFill patternType="solid">
          <fgColor rgb="FFC65911"/>
          <bgColor rgb="FF000000"/>
        </patternFill>
      </fill>
    </dxf>
    <dxf>
      <font>
        <color rgb="FFC65911"/>
      </font>
      <fill>
        <patternFill>
          <bgColor rgb="FFFCE4D6"/>
        </patternFill>
      </fill>
    </dxf>
    <dxf>
      <font>
        <color rgb="FF7F6000"/>
      </font>
      <fill>
        <patternFill>
          <bgColor rgb="FFFFF2CC"/>
        </patternFill>
      </fill>
    </dxf>
    <dxf>
      <font>
        <color rgb="FF375623"/>
      </font>
      <fill>
        <patternFill>
          <bgColor rgb="FFE2EFDA"/>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7F6000"/>
      <rgbColor rgb="FF800080"/>
      <rgbColor rgb="FF008080"/>
      <rgbColor rgb="FFBFBFBF"/>
      <rgbColor rgb="FF808080"/>
      <rgbColor rgb="FF9999FF"/>
      <rgbColor rgb="FF993366"/>
      <rgbColor rgb="FFFFF2CC"/>
      <rgbColor rgb="FFE2EFDA"/>
      <rgbColor rgb="FF660066"/>
      <rgbColor rgb="FFFF8080"/>
      <rgbColor rgb="FF0066CC"/>
      <rgbColor rgb="FFFCE4D6"/>
      <rgbColor rgb="FF000080"/>
      <rgbColor rgb="FFFF00FF"/>
      <rgbColor rgb="FFFFFF00"/>
      <rgbColor rgb="FF00FFFF"/>
      <rgbColor rgb="FF800080"/>
      <rgbColor rgb="FF800000"/>
      <rgbColor rgb="FF008080"/>
      <rgbColor rgb="FF0000FF"/>
      <rgbColor rgb="FF00CCFF"/>
      <rgbColor rgb="FFEDEDED"/>
      <rgbColor rgb="FFC6EFCE"/>
      <rgbColor rgb="FFFFEB9C"/>
      <rgbColor rgb="FF99CCFF"/>
      <rgbColor rgb="FFFF99CC"/>
      <rgbColor rgb="FFCC99FF"/>
      <rgbColor rgb="FFFFC7CE"/>
      <rgbColor rgb="FF3366FF"/>
      <rgbColor rgb="FF33CCCC"/>
      <rgbColor rgb="FF99CC00"/>
      <rgbColor rgb="FFFFCC00"/>
      <rgbColor rgb="FFFF9900"/>
      <rgbColor rgb="FFC65911"/>
      <rgbColor rgb="FF595959"/>
      <rgbColor rgb="FF969696"/>
      <rgbColor rgb="FF003366"/>
      <rgbColor rgb="FF339966"/>
      <rgbColor rgb="FF003300"/>
      <rgbColor rgb="FF333300"/>
      <rgbColor rgb="FF9C57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3"/>
    <col collapsed="false" customWidth="true" hidden="false" outlineLevel="0" max="3" min="3" style="0" width="10"/>
    <col collapsed="false" customWidth="true" hidden="false" outlineLevel="0" max="4" min="4" style="0" width="32"/>
    <col collapsed="false" customWidth="true" hidden="false" outlineLevel="0" max="5" min="5" style="0" width="28"/>
    <col collapsed="false" customWidth="true" hidden="false" outlineLevel="0" max="6" min="6" style="0" width="36"/>
    <col collapsed="false" customWidth="true" hidden="false" outlineLevel="0" max="7" min="7" style="0" width="20"/>
    <col collapsed="false" customWidth="true" hidden="false" outlineLevel="0" max="8" min="8" style="0" width="40"/>
    <col collapsed="false" customWidth="true" hidden="false" outlineLevel="0" max="9" min="9" style="0" width="10"/>
    <col collapsed="false" customWidth="true" hidden="false" outlineLevel="0" max="10" min="10" style="0" width="12"/>
    <col collapsed="false" customWidth="true" hidden="false" outlineLevel="0" max="11" min="11" style="0" width="78"/>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row>
    <row r="2" customFormat="false" ht="55.2" hidden="false" customHeight="false" outlineLevel="0" collapsed="false">
      <c r="A2" s="2" t="s">
        <v>11</v>
      </c>
      <c r="B2" s="2" t="s">
        <v>12</v>
      </c>
      <c r="C2" s="2" t="s">
        <v>13</v>
      </c>
      <c r="D2" s="2" t="s">
        <v>14</v>
      </c>
      <c r="E2" s="2" t="s">
        <v>15</v>
      </c>
      <c r="F2" s="2" t="s">
        <v>16</v>
      </c>
      <c r="G2" s="2" t="s">
        <v>17</v>
      </c>
      <c r="H2" s="2" t="s">
        <v>18</v>
      </c>
      <c r="I2" s="2" t="s">
        <v>19</v>
      </c>
      <c r="J2" s="2" t="s">
        <v>20</v>
      </c>
      <c r="K2" s="3" t="s">
        <v>21</v>
      </c>
    </row>
    <row r="3" customFormat="false" ht="41.75" hidden="false" customHeight="false" outlineLevel="0" collapsed="false">
      <c r="A3" s="2" t="s">
        <v>22</v>
      </c>
      <c r="B3" s="2" t="s">
        <v>12</v>
      </c>
      <c r="C3" s="2" t="s">
        <v>13</v>
      </c>
      <c r="D3" s="2" t="s">
        <v>23</v>
      </c>
      <c r="E3" s="2" t="s">
        <v>24</v>
      </c>
      <c r="F3" s="2" t="s">
        <v>25</v>
      </c>
      <c r="G3" s="2" t="s">
        <v>26</v>
      </c>
      <c r="H3" s="2" t="s">
        <v>27</v>
      </c>
      <c r="I3" s="2" t="s">
        <v>19</v>
      </c>
      <c r="J3" s="2" t="s">
        <v>20</v>
      </c>
      <c r="K3" s="3" t="s">
        <v>28</v>
      </c>
    </row>
    <row r="4" customFormat="false" ht="41.75" hidden="false" customHeight="false" outlineLevel="0" collapsed="false">
      <c r="A4" s="2" t="s">
        <v>29</v>
      </c>
      <c r="B4" s="2" t="s">
        <v>12</v>
      </c>
      <c r="C4" s="2" t="s">
        <v>13</v>
      </c>
      <c r="D4" s="2" t="s">
        <v>30</v>
      </c>
      <c r="E4" s="2" t="s">
        <v>31</v>
      </c>
      <c r="F4" s="2" t="s">
        <v>32</v>
      </c>
      <c r="G4" s="2" t="s">
        <v>33</v>
      </c>
      <c r="H4" s="2" t="s">
        <v>34</v>
      </c>
      <c r="I4" s="2" t="s">
        <v>19</v>
      </c>
      <c r="J4" s="2" t="s">
        <v>20</v>
      </c>
      <c r="K4" s="3" t="s">
        <v>35</v>
      </c>
    </row>
    <row r="5" customFormat="false" ht="41.75" hidden="false" customHeight="false" outlineLevel="0" collapsed="false">
      <c r="A5" s="2" t="s">
        <v>36</v>
      </c>
      <c r="B5" s="2" t="s">
        <v>12</v>
      </c>
      <c r="C5" s="2" t="s">
        <v>13</v>
      </c>
      <c r="D5" s="2" t="s">
        <v>37</v>
      </c>
      <c r="E5" s="2" t="s">
        <v>38</v>
      </c>
      <c r="F5" s="2" t="s">
        <v>39</v>
      </c>
      <c r="G5" s="2" t="s">
        <v>40</v>
      </c>
      <c r="H5" s="2" t="s">
        <v>41</v>
      </c>
      <c r="I5" s="2" t="s">
        <v>42</v>
      </c>
      <c r="J5" s="2" t="s">
        <v>20</v>
      </c>
      <c r="K5" s="3" t="s">
        <v>43</v>
      </c>
    </row>
    <row r="6" customFormat="false" ht="55.2" hidden="false" customHeight="false" outlineLevel="0" collapsed="false">
      <c r="A6" s="2" t="s">
        <v>44</v>
      </c>
      <c r="B6" s="2" t="s">
        <v>12</v>
      </c>
      <c r="C6" s="2" t="s">
        <v>13</v>
      </c>
      <c r="D6" s="2" t="s">
        <v>45</v>
      </c>
      <c r="E6" s="2" t="s">
        <v>46</v>
      </c>
      <c r="F6" s="2" t="s">
        <v>47</v>
      </c>
      <c r="G6" s="2" t="s">
        <v>48</v>
      </c>
      <c r="H6" s="2" t="s">
        <v>49</v>
      </c>
      <c r="I6" s="2" t="s">
        <v>42</v>
      </c>
      <c r="J6" s="2" t="s">
        <v>50</v>
      </c>
      <c r="K6" s="3" t="s">
        <v>51</v>
      </c>
    </row>
    <row r="7" customFormat="false" ht="41.75" hidden="false" customHeight="false" outlineLevel="0" collapsed="false">
      <c r="A7" s="2" t="s">
        <v>52</v>
      </c>
      <c r="B7" s="2" t="s">
        <v>12</v>
      </c>
      <c r="C7" s="2" t="s">
        <v>13</v>
      </c>
      <c r="D7" s="2" t="s">
        <v>53</v>
      </c>
      <c r="E7" s="2" t="s">
        <v>54</v>
      </c>
      <c r="F7" s="2" t="s">
        <v>55</v>
      </c>
      <c r="G7" s="2" t="s">
        <v>38</v>
      </c>
      <c r="H7" s="2" t="s">
        <v>56</v>
      </c>
      <c r="I7" s="2" t="s">
        <v>42</v>
      </c>
      <c r="J7" s="2" t="s">
        <v>50</v>
      </c>
      <c r="K7" s="3" t="s">
        <v>57</v>
      </c>
    </row>
    <row r="8" customFormat="false" ht="55.2" hidden="false" customHeight="false" outlineLevel="0" collapsed="false">
      <c r="A8" s="2" t="s">
        <v>58</v>
      </c>
      <c r="B8" s="2" t="s">
        <v>12</v>
      </c>
      <c r="C8" s="2" t="s">
        <v>59</v>
      </c>
      <c r="D8" s="2" t="s">
        <v>60</v>
      </c>
      <c r="E8" s="2" t="s">
        <v>61</v>
      </c>
      <c r="F8" s="2" t="s">
        <v>62</v>
      </c>
      <c r="G8" s="2" t="s">
        <v>38</v>
      </c>
      <c r="H8" s="2" t="s">
        <v>63</v>
      </c>
      <c r="I8" s="2" t="s">
        <v>19</v>
      </c>
      <c r="J8" s="2" t="s">
        <v>50</v>
      </c>
      <c r="K8" s="3" t="s">
        <v>64</v>
      </c>
    </row>
    <row r="9" customFormat="false" ht="55.2" hidden="false" customHeight="false" outlineLevel="0" collapsed="false">
      <c r="A9" s="2" t="s">
        <v>65</v>
      </c>
      <c r="B9" s="2" t="s">
        <v>66</v>
      </c>
      <c r="C9" s="2" t="s">
        <v>67</v>
      </c>
      <c r="D9" s="2" t="s">
        <v>68</v>
      </c>
      <c r="E9" s="2" t="s">
        <v>69</v>
      </c>
      <c r="F9" s="2" t="s">
        <v>70</v>
      </c>
      <c r="G9" s="2" t="s">
        <v>38</v>
      </c>
      <c r="H9" s="2" t="s">
        <v>68</v>
      </c>
      <c r="I9" s="2" t="s">
        <v>19</v>
      </c>
      <c r="J9" s="2" t="s">
        <v>20</v>
      </c>
      <c r="K9" s="3" t="s">
        <v>71</v>
      </c>
    </row>
    <row r="10" customFormat="false" ht="55.2" hidden="false" customHeight="false" outlineLevel="0" collapsed="false">
      <c r="A10" s="2" t="s">
        <v>72</v>
      </c>
      <c r="B10" s="2" t="s">
        <v>66</v>
      </c>
      <c r="C10" s="2" t="s">
        <v>67</v>
      </c>
      <c r="D10" s="2" t="s">
        <v>73</v>
      </c>
      <c r="E10" s="2" t="s">
        <v>74</v>
      </c>
      <c r="F10" s="2" t="s">
        <v>75</v>
      </c>
      <c r="G10" s="2" t="s">
        <v>76</v>
      </c>
      <c r="H10" s="2" t="s">
        <v>77</v>
      </c>
      <c r="I10" s="2" t="s">
        <v>19</v>
      </c>
      <c r="J10" s="2" t="s">
        <v>50</v>
      </c>
      <c r="K10" s="3" t="s">
        <v>78</v>
      </c>
    </row>
    <row r="11" customFormat="false" ht="28.35" hidden="false" customHeight="false" outlineLevel="0" collapsed="false">
      <c r="A11" s="2" t="s">
        <v>79</v>
      </c>
      <c r="B11" s="2" t="s">
        <v>66</v>
      </c>
      <c r="C11" s="2" t="s">
        <v>67</v>
      </c>
      <c r="D11" s="2" t="s">
        <v>80</v>
      </c>
      <c r="E11" s="2" t="s">
        <v>81</v>
      </c>
      <c r="F11" s="2" t="s">
        <v>82</v>
      </c>
      <c r="G11" s="2" t="s">
        <v>38</v>
      </c>
      <c r="H11" s="2" t="s">
        <v>83</v>
      </c>
      <c r="I11" s="2" t="s">
        <v>42</v>
      </c>
      <c r="J11" s="2" t="s">
        <v>20</v>
      </c>
      <c r="K11" s="3" t="s">
        <v>84</v>
      </c>
    </row>
    <row r="12" customFormat="false" ht="55.2" hidden="false" customHeight="false" outlineLevel="0" collapsed="false">
      <c r="A12" s="2" t="s">
        <v>85</v>
      </c>
      <c r="B12" s="2" t="s">
        <v>66</v>
      </c>
      <c r="C12" s="2" t="s">
        <v>67</v>
      </c>
      <c r="D12" s="2" t="s">
        <v>86</v>
      </c>
      <c r="E12" s="2" t="s">
        <v>87</v>
      </c>
      <c r="F12" s="2" t="s">
        <v>88</v>
      </c>
      <c r="G12" s="2" t="s">
        <v>38</v>
      </c>
      <c r="H12" s="2" t="s">
        <v>89</v>
      </c>
      <c r="I12" s="2" t="s">
        <v>19</v>
      </c>
      <c r="J12" s="2" t="s">
        <v>20</v>
      </c>
      <c r="K12" s="3" t="s">
        <v>90</v>
      </c>
    </row>
    <row r="13" customFormat="false" ht="41.75" hidden="false" customHeight="false" outlineLevel="0" collapsed="false">
      <c r="A13" s="2" t="s">
        <v>91</v>
      </c>
      <c r="B13" s="2" t="s">
        <v>66</v>
      </c>
      <c r="C13" s="2" t="s">
        <v>92</v>
      </c>
      <c r="D13" s="2" t="s">
        <v>93</v>
      </c>
      <c r="E13" s="2" t="s">
        <v>94</v>
      </c>
      <c r="F13" s="2" t="s">
        <v>95</v>
      </c>
      <c r="G13" s="2" t="s">
        <v>38</v>
      </c>
      <c r="H13" s="2" t="s">
        <v>96</v>
      </c>
      <c r="I13" s="2" t="s">
        <v>19</v>
      </c>
      <c r="J13" s="2" t="s">
        <v>20</v>
      </c>
      <c r="K13" s="3" t="s">
        <v>97</v>
      </c>
    </row>
    <row r="14" customFormat="false" ht="55.2" hidden="false" customHeight="false" outlineLevel="0" collapsed="false">
      <c r="A14" s="2" t="s">
        <v>98</v>
      </c>
      <c r="B14" s="2" t="s">
        <v>66</v>
      </c>
      <c r="C14" s="2" t="s">
        <v>92</v>
      </c>
      <c r="D14" s="2" t="s">
        <v>99</v>
      </c>
      <c r="E14" s="2" t="s">
        <v>100</v>
      </c>
      <c r="F14" s="2" t="s">
        <v>101</v>
      </c>
      <c r="G14" s="2" t="s">
        <v>38</v>
      </c>
      <c r="H14" s="2" t="s">
        <v>102</v>
      </c>
      <c r="I14" s="2" t="s">
        <v>19</v>
      </c>
      <c r="J14" s="2" t="s">
        <v>50</v>
      </c>
      <c r="K14" s="3" t="s">
        <v>103</v>
      </c>
    </row>
    <row r="15" customFormat="false" ht="68.65" hidden="false" customHeight="false" outlineLevel="0" collapsed="false">
      <c r="A15" s="2" t="s">
        <v>104</v>
      </c>
      <c r="B15" s="2" t="s">
        <v>66</v>
      </c>
      <c r="C15" s="2" t="s">
        <v>92</v>
      </c>
      <c r="D15" s="2" t="s">
        <v>105</v>
      </c>
      <c r="E15" s="2" t="s">
        <v>100</v>
      </c>
      <c r="F15" s="2" t="s">
        <v>106</v>
      </c>
      <c r="G15" s="2" t="s">
        <v>38</v>
      </c>
      <c r="H15" s="2" t="s">
        <v>107</v>
      </c>
      <c r="I15" s="2" t="s">
        <v>19</v>
      </c>
      <c r="J15" s="2" t="s">
        <v>50</v>
      </c>
      <c r="K15" s="3" t="s">
        <v>108</v>
      </c>
    </row>
    <row r="16" customFormat="false" ht="55.2" hidden="false" customHeight="false" outlineLevel="0" collapsed="false">
      <c r="A16" s="2" t="s">
        <v>109</v>
      </c>
      <c r="B16" s="2" t="s">
        <v>66</v>
      </c>
      <c r="C16" s="2" t="s">
        <v>92</v>
      </c>
      <c r="D16" s="2" t="s">
        <v>110</v>
      </c>
      <c r="E16" s="2" t="s">
        <v>38</v>
      </c>
      <c r="F16" s="2" t="s">
        <v>111</v>
      </c>
      <c r="G16" s="2" t="s">
        <v>112</v>
      </c>
      <c r="H16" s="2" t="s">
        <v>113</v>
      </c>
      <c r="I16" s="2" t="s">
        <v>19</v>
      </c>
      <c r="J16" s="2" t="s">
        <v>50</v>
      </c>
      <c r="K16" s="3" t="s">
        <v>114</v>
      </c>
    </row>
    <row r="17" customFormat="false" ht="55.2" hidden="false" customHeight="false" outlineLevel="0" collapsed="false">
      <c r="A17" s="2" t="s">
        <v>115</v>
      </c>
      <c r="B17" s="2" t="s">
        <v>66</v>
      </c>
      <c r="C17" s="2" t="s">
        <v>92</v>
      </c>
      <c r="D17" s="2" t="s">
        <v>116</v>
      </c>
      <c r="E17" s="2" t="s">
        <v>117</v>
      </c>
      <c r="F17" s="2" t="s">
        <v>118</v>
      </c>
      <c r="G17" s="2" t="s">
        <v>38</v>
      </c>
      <c r="H17" s="2" t="s">
        <v>119</v>
      </c>
      <c r="I17" s="2" t="s">
        <v>19</v>
      </c>
      <c r="J17" s="2" t="s">
        <v>50</v>
      </c>
      <c r="K17" s="3" t="s">
        <v>120</v>
      </c>
    </row>
    <row r="18" customFormat="false" ht="41.75" hidden="false" customHeight="false" outlineLevel="0" collapsed="false">
      <c r="A18" s="2" t="s">
        <v>121</v>
      </c>
      <c r="B18" s="2" t="s">
        <v>66</v>
      </c>
      <c r="C18" s="2" t="s">
        <v>92</v>
      </c>
      <c r="D18" s="2" t="s">
        <v>122</v>
      </c>
      <c r="E18" s="2" t="s">
        <v>123</v>
      </c>
      <c r="F18" s="2" t="s">
        <v>124</v>
      </c>
      <c r="G18" s="2" t="s">
        <v>38</v>
      </c>
      <c r="H18" s="2" t="s">
        <v>125</v>
      </c>
      <c r="I18" s="2" t="s">
        <v>19</v>
      </c>
      <c r="J18" s="2" t="s">
        <v>20</v>
      </c>
      <c r="K18" s="3" t="s">
        <v>126</v>
      </c>
    </row>
    <row r="19" customFormat="false" ht="41.75" hidden="false" customHeight="false" outlineLevel="0" collapsed="false">
      <c r="A19" s="2" t="s">
        <v>127</v>
      </c>
      <c r="B19" s="2" t="s">
        <v>66</v>
      </c>
      <c r="C19" s="2" t="s">
        <v>92</v>
      </c>
      <c r="D19" s="2" t="s">
        <v>128</v>
      </c>
      <c r="E19" s="2" t="s">
        <v>129</v>
      </c>
      <c r="F19" s="2" t="s">
        <v>130</v>
      </c>
      <c r="G19" s="2" t="s">
        <v>38</v>
      </c>
      <c r="H19" s="2" t="s">
        <v>131</v>
      </c>
      <c r="I19" s="2" t="s">
        <v>19</v>
      </c>
      <c r="J19" s="2" t="s">
        <v>50</v>
      </c>
      <c r="K19" s="3" t="s">
        <v>132</v>
      </c>
    </row>
    <row r="20" customFormat="false" ht="55.2" hidden="false" customHeight="false" outlineLevel="0" collapsed="false">
      <c r="A20" s="2" t="s">
        <v>133</v>
      </c>
      <c r="B20" s="2" t="s">
        <v>66</v>
      </c>
      <c r="C20" s="2" t="s">
        <v>92</v>
      </c>
      <c r="D20" s="2" t="s">
        <v>134</v>
      </c>
      <c r="E20" s="2" t="s">
        <v>135</v>
      </c>
      <c r="F20" s="2" t="s">
        <v>136</v>
      </c>
      <c r="G20" s="2" t="s">
        <v>38</v>
      </c>
      <c r="H20" s="2" t="s">
        <v>137</v>
      </c>
      <c r="I20" s="2" t="s">
        <v>19</v>
      </c>
      <c r="J20" s="2" t="s">
        <v>50</v>
      </c>
      <c r="K20" s="3" t="s">
        <v>138</v>
      </c>
    </row>
    <row r="21" customFormat="false" ht="55.2" hidden="false" customHeight="false" outlineLevel="0" collapsed="false">
      <c r="A21" s="2" t="s">
        <v>139</v>
      </c>
      <c r="B21" s="2" t="s">
        <v>66</v>
      </c>
      <c r="C21" s="2" t="s">
        <v>92</v>
      </c>
      <c r="D21" s="2" t="s">
        <v>140</v>
      </c>
      <c r="E21" s="2" t="s">
        <v>141</v>
      </c>
      <c r="F21" s="2" t="s">
        <v>142</v>
      </c>
      <c r="G21" s="2" t="s">
        <v>38</v>
      </c>
      <c r="H21" s="2" t="s">
        <v>143</v>
      </c>
      <c r="I21" s="2" t="s">
        <v>19</v>
      </c>
      <c r="J21" s="2" t="s">
        <v>20</v>
      </c>
      <c r="K21" s="3" t="s">
        <v>144</v>
      </c>
    </row>
    <row r="22" customFormat="false" ht="55.2" hidden="false" customHeight="false" outlineLevel="0" collapsed="false">
      <c r="A22" s="2" t="s">
        <v>145</v>
      </c>
      <c r="B22" s="2" t="s">
        <v>66</v>
      </c>
      <c r="C22" s="2" t="s">
        <v>92</v>
      </c>
      <c r="D22" s="2" t="s">
        <v>146</v>
      </c>
      <c r="E22" s="2" t="s">
        <v>147</v>
      </c>
      <c r="F22" s="2" t="s">
        <v>148</v>
      </c>
      <c r="G22" s="2" t="s">
        <v>38</v>
      </c>
      <c r="H22" s="2" t="s">
        <v>149</v>
      </c>
      <c r="I22" s="2" t="s">
        <v>42</v>
      </c>
      <c r="J22" s="2" t="s">
        <v>50</v>
      </c>
      <c r="K22" s="3" t="s">
        <v>150</v>
      </c>
    </row>
    <row r="23" customFormat="false" ht="68.65" hidden="false" customHeight="false" outlineLevel="0" collapsed="false">
      <c r="A23" s="2" t="s">
        <v>151</v>
      </c>
      <c r="B23" s="2" t="s">
        <v>66</v>
      </c>
      <c r="C23" s="2" t="s">
        <v>92</v>
      </c>
      <c r="D23" s="2" t="s">
        <v>152</v>
      </c>
      <c r="E23" s="2" t="s">
        <v>153</v>
      </c>
      <c r="F23" s="2" t="s">
        <v>154</v>
      </c>
      <c r="G23" s="2" t="s">
        <v>38</v>
      </c>
      <c r="H23" s="2" t="s">
        <v>155</v>
      </c>
      <c r="I23" s="2" t="s">
        <v>19</v>
      </c>
      <c r="J23" s="2" t="s">
        <v>50</v>
      </c>
      <c r="K23" s="3" t="s">
        <v>156</v>
      </c>
    </row>
    <row r="24" customFormat="false" ht="55.2" hidden="false" customHeight="false" outlineLevel="0" collapsed="false">
      <c r="A24" s="2" t="s">
        <v>157</v>
      </c>
      <c r="B24" s="2" t="s">
        <v>66</v>
      </c>
      <c r="C24" s="2" t="s">
        <v>92</v>
      </c>
      <c r="D24" s="2" t="s">
        <v>158</v>
      </c>
      <c r="E24" s="2" t="s">
        <v>159</v>
      </c>
      <c r="F24" s="2" t="s">
        <v>160</v>
      </c>
      <c r="G24" s="2" t="s">
        <v>38</v>
      </c>
      <c r="H24" s="2" t="s">
        <v>161</v>
      </c>
      <c r="I24" s="2" t="s">
        <v>19</v>
      </c>
      <c r="J24" s="2" t="s">
        <v>50</v>
      </c>
      <c r="K24" s="3" t="s">
        <v>162</v>
      </c>
    </row>
    <row r="25" customFormat="false" ht="55.2" hidden="false" customHeight="false" outlineLevel="0" collapsed="false">
      <c r="A25" s="2" t="s">
        <v>163</v>
      </c>
      <c r="B25" s="2" t="s">
        <v>66</v>
      </c>
      <c r="C25" s="2" t="s">
        <v>92</v>
      </c>
      <c r="D25" s="2" t="s">
        <v>164</v>
      </c>
      <c r="E25" s="2" t="s">
        <v>165</v>
      </c>
      <c r="F25" s="2" t="s">
        <v>166</v>
      </c>
      <c r="G25" s="2" t="s">
        <v>167</v>
      </c>
      <c r="H25" s="2" t="s">
        <v>168</v>
      </c>
      <c r="I25" s="2" t="s">
        <v>19</v>
      </c>
      <c r="J25" s="2" t="s">
        <v>50</v>
      </c>
      <c r="K25" s="3" t="s">
        <v>169</v>
      </c>
    </row>
    <row r="26" customFormat="false" ht="55.2" hidden="false" customHeight="false" outlineLevel="0" collapsed="false">
      <c r="A26" s="2" t="s">
        <v>170</v>
      </c>
      <c r="B26" s="2" t="s">
        <v>171</v>
      </c>
      <c r="C26" s="2" t="s">
        <v>172</v>
      </c>
      <c r="D26" s="2" t="s">
        <v>173</v>
      </c>
      <c r="E26" s="2" t="s">
        <v>174</v>
      </c>
      <c r="F26" s="2" t="s">
        <v>175</v>
      </c>
      <c r="G26" s="2" t="s">
        <v>38</v>
      </c>
      <c r="H26" s="2" t="s">
        <v>176</v>
      </c>
      <c r="I26" s="2" t="s">
        <v>19</v>
      </c>
      <c r="J26" s="2" t="s">
        <v>20</v>
      </c>
      <c r="K26" s="3" t="s">
        <v>177</v>
      </c>
    </row>
    <row r="27" customFormat="false" ht="41.75" hidden="false" customHeight="false" outlineLevel="0" collapsed="false">
      <c r="A27" s="2" t="s">
        <v>178</v>
      </c>
      <c r="B27" s="2" t="s">
        <v>171</v>
      </c>
      <c r="C27" s="2" t="s">
        <v>172</v>
      </c>
      <c r="D27" s="2" t="s">
        <v>179</v>
      </c>
      <c r="E27" s="2" t="s">
        <v>180</v>
      </c>
      <c r="F27" s="2" t="s">
        <v>181</v>
      </c>
      <c r="G27" s="2" t="s">
        <v>38</v>
      </c>
      <c r="H27" s="2" t="s">
        <v>182</v>
      </c>
      <c r="I27" s="2" t="s">
        <v>19</v>
      </c>
      <c r="J27" s="2" t="s">
        <v>20</v>
      </c>
      <c r="K27" s="3" t="s">
        <v>183</v>
      </c>
    </row>
    <row r="28" customFormat="false" ht="41.75" hidden="false" customHeight="false" outlineLevel="0" collapsed="false">
      <c r="A28" s="2" t="s">
        <v>184</v>
      </c>
      <c r="B28" s="2" t="s">
        <v>185</v>
      </c>
      <c r="C28" s="2" t="s">
        <v>186</v>
      </c>
      <c r="D28" s="2" t="s">
        <v>187</v>
      </c>
      <c r="E28" s="2" t="s">
        <v>188</v>
      </c>
      <c r="F28" s="2" t="s">
        <v>189</v>
      </c>
      <c r="G28" s="2" t="s">
        <v>38</v>
      </c>
      <c r="H28" s="2" t="s">
        <v>190</v>
      </c>
      <c r="I28" s="2" t="s">
        <v>19</v>
      </c>
      <c r="J28" s="2" t="s">
        <v>20</v>
      </c>
      <c r="K28" s="3" t="s">
        <v>191</v>
      </c>
    </row>
    <row r="29" customFormat="false" ht="41.75" hidden="false" customHeight="false" outlineLevel="0" collapsed="false">
      <c r="A29" s="2" t="s">
        <v>192</v>
      </c>
      <c r="B29" s="2" t="s">
        <v>185</v>
      </c>
      <c r="C29" s="2" t="s">
        <v>186</v>
      </c>
      <c r="D29" s="2" t="s">
        <v>193</v>
      </c>
      <c r="E29" s="2" t="s">
        <v>194</v>
      </c>
      <c r="F29" s="2" t="s">
        <v>195</v>
      </c>
      <c r="G29" s="2" t="s">
        <v>38</v>
      </c>
      <c r="H29" s="2" t="s">
        <v>196</v>
      </c>
      <c r="I29" s="2" t="s">
        <v>19</v>
      </c>
      <c r="J29" s="2" t="s">
        <v>20</v>
      </c>
      <c r="K29" s="3" t="s">
        <v>197</v>
      </c>
    </row>
    <row r="30" customFormat="false" ht="55.2" hidden="false" customHeight="false" outlineLevel="0" collapsed="false">
      <c r="A30" s="2" t="s">
        <v>198</v>
      </c>
      <c r="B30" s="2" t="s">
        <v>185</v>
      </c>
      <c r="C30" s="2" t="s">
        <v>186</v>
      </c>
      <c r="D30" s="2" t="s">
        <v>199</v>
      </c>
      <c r="E30" s="2" t="s">
        <v>200</v>
      </c>
      <c r="F30" s="2" t="s">
        <v>201</v>
      </c>
      <c r="G30" s="2" t="s">
        <v>38</v>
      </c>
      <c r="H30" s="2" t="s">
        <v>202</v>
      </c>
      <c r="I30" s="2" t="s">
        <v>19</v>
      </c>
      <c r="J30" s="2" t="s">
        <v>20</v>
      </c>
      <c r="K30" s="3" t="s">
        <v>203</v>
      </c>
    </row>
    <row r="31" customFormat="false" ht="55.2" hidden="false" customHeight="false" outlineLevel="0" collapsed="false">
      <c r="A31" s="2" t="s">
        <v>204</v>
      </c>
      <c r="B31" s="2" t="s">
        <v>185</v>
      </c>
      <c r="C31" s="2" t="s">
        <v>186</v>
      </c>
      <c r="D31" s="2" t="s">
        <v>45</v>
      </c>
      <c r="E31" s="2" t="s">
        <v>205</v>
      </c>
      <c r="F31" s="2" t="s">
        <v>206</v>
      </c>
      <c r="G31" s="2" t="s">
        <v>38</v>
      </c>
      <c r="H31" s="2" t="s">
        <v>207</v>
      </c>
      <c r="I31" s="2" t="s">
        <v>42</v>
      </c>
      <c r="J31" s="2" t="s">
        <v>50</v>
      </c>
      <c r="K31" s="3" t="s">
        <v>208</v>
      </c>
    </row>
    <row r="32" customFormat="false" ht="55.2" hidden="false" customHeight="false" outlineLevel="0" collapsed="false">
      <c r="A32" s="2" t="s">
        <v>209</v>
      </c>
      <c r="B32" s="2" t="s">
        <v>185</v>
      </c>
      <c r="C32" s="2" t="s">
        <v>186</v>
      </c>
      <c r="D32" s="2" t="s">
        <v>210</v>
      </c>
      <c r="E32" s="2" t="s">
        <v>211</v>
      </c>
      <c r="F32" s="2" t="s">
        <v>212</v>
      </c>
      <c r="G32" s="2" t="s">
        <v>38</v>
      </c>
      <c r="H32" s="2" t="s">
        <v>213</v>
      </c>
      <c r="I32" s="2" t="s">
        <v>42</v>
      </c>
      <c r="J32" s="2" t="s">
        <v>50</v>
      </c>
      <c r="K32" s="3" t="s">
        <v>214</v>
      </c>
    </row>
    <row r="33" customFormat="false" ht="28.35" hidden="false" customHeight="false" outlineLevel="0" collapsed="false">
      <c r="A33" s="2" t="s">
        <v>215</v>
      </c>
      <c r="B33" s="2" t="s">
        <v>185</v>
      </c>
      <c r="C33" s="2" t="s">
        <v>186</v>
      </c>
      <c r="D33" s="2" t="s">
        <v>216</v>
      </c>
      <c r="E33" s="2" t="s">
        <v>217</v>
      </c>
      <c r="F33" s="2" t="s">
        <v>218</v>
      </c>
      <c r="G33" s="2" t="s">
        <v>219</v>
      </c>
      <c r="H33" s="2" t="s">
        <v>220</v>
      </c>
      <c r="I33" s="2" t="s">
        <v>19</v>
      </c>
      <c r="J33" s="2" t="s">
        <v>20</v>
      </c>
      <c r="K33" s="3" t="s">
        <v>221</v>
      </c>
    </row>
    <row r="34" customFormat="false" ht="55.2" hidden="false" customHeight="false" outlineLevel="0" collapsed="false">
      <c r="A34" s="2" t="s">
        <v>222</v>
      </c>
      <c r="B34" s="2" t="s">
        <v>185</v>
      </c>
      <c r="C34" s="2" t="s">
        <v>186</v>
      </c>
      <c r="D34" s="2" t="s">
        <v>223</v>
      </c>
      <c r="E34" s="2" t="s">
        <v>224</v>
      </c>
      <c r="F34" s="2" t="s">
        <v>225</v>
      </c>
      <c r="G34" s="2" t="s">
        <v>38</v>
      </c>
      <c r="H34" s="2" t="s">
        <v>226</v>
      </c>
      <c r="I34" s="2" t="s">
        <v>19</v>
      </c>
      <c r="J34" s="2" t="s">
        <v>50</v>
      </c>
      <c r="K34" s="3" t="s">
        <v>227</v>
      </c>
    </row>
    <row r="35" customFormat="false" ht="41.75" hidden="false" customHeight="false" outlineLevel="0" collapsed="false">
      <c r="A35" s="2" t="s">
        <v>228</v>
      </c>
      <c r="B35" s="2" t="s">
        <v>229</v>
      </c>
      <c r="C35" s="2" t="s">
        <v>230</v>
      </c>
      <c r="D35" s="2" t="s">
        <v>231</v>
      </c>
      <c r="E35" s="2" t="s">
        <v>232</v>
      </c>
      <c r="F35" s="2" t="s">
        <v>233</v>
      </c>
      <c r="G35" s="2" t="s">
        <v>234</v>
      </c>
      <c r="H35" s="2" t="s">
        <v>235</v>
      </c>
      <c r="I35" s="2" t="s">
        <v>19</v>
      </c>
      <c r="J35" s="2" t="s">
        <v>20</v>
      </c>
      <c r="K35" s="3" t="s">
        <v>236</v>
      </c>
    </row>
    <row r="36" customFormat="false" ht="28.35" hidden="false" customHeight="false" outlineLevel="0" collapsed="false">
      <c r="A36" s="2" t="s">
        <v>237</v>
      </c>
      <c r="B36" s="2" t="s">
        <v>229</v>
      </c>
      <c r="C36" s="2" t="s">
        <v>230</v>
      </c>
      <c r="D36" s="2" t="s">
        <v>238</v>
      </c>
      <c r="E36" s="2" t="s">
        <v>38</v>
      </c>
      <c r="F36" s="2" t="s">
        <v>239</v>
      </c>
      <c r="G36" s="2" t="s">
        <v>240</v>
      </c>
      <c r="H36" s="2" t="s">
        <v>241</v>
      </c>
      <c r="I36" s="2" t="s">
        <v>42</v>
      </c>
      <c r="J36" s="2" t="s">
        <v>20</v>
      </c>
      <c r="K36" s="3" t="s">
        <v>242</v>
      </c>
    </row>
    <row r="37" customFormat="false" ht="28.35" hidden="false" customHeight="false" outlineLevel="0" collapsed="false">
      <c r="A37" s="2" t="s">
        <v>243</v>
      </c>
      <c r="B37" s="2" t="s">
        <v>229</v>
      </c>
      <c r="C37" s="2" t="s">
        <v>230</v>
      </c>
      <c r="D37" s="2" t="s">
        <v>244</v>
      </c>
      <c r="E37" s="2" t="s">
        <v>38</v>
      </c>
      <c r="F37" s="2" t="s">
        <v>245</v>
      </c>
      <c r="G37" s="2" t="s">
        <v>38</v>
      </c>
      <c r="H37" s="2" t="s">
        <v>246</v>
      </c>
      <c r="I37" s="2" t="s">
        <v>42</v>
      </c>
      <c r="J37" s="2" t="s">
        <v>20</v>
      </c>
      <c r="K37" s="3" t="s">
        <v>247</v>
      </c>
    </row>
    <row r="38" customFormat="false" ht="41.75" hidden="false" customHeight="false" outlineLevel="0" collapsed="false">
      <c r="A38" s="2" t="s">
        <v>248</v>
      </c>
      <c r="B38" s="2" t="s">
        <v>229</v>
      </c>
      <c r="C38" s="2" t="s">
        <v>249</v>
      </c>
      <c r="D38" s="2" t="s">
        <v>250</v>
      </c>
      <c r="E38" s="2" t="s">
        <v>251</v>
      </c>
      <c r="F38" s="2" t="s">
        <v>252</v>
      </c>
      <c r="G38" s="2" t="s">
        <v>38</v>
      </c>
      <c r="H38" s="2" t="s">
        <v>253</v>
      </c>
      <c r="I38" s="2" t="s">
        <v>19</v>
      </c>
      <c r="J38" s="2" t="s">
        <v>20</v>
      </c>
      <c r="K38" s="3" t="s">
        <v>254</v>
      </c>
    </row>
    <row r="39" customFormat="false" ht="55.2" hidden="false" customHeight="false" outlineLevel="0" collapsed="false">
      <c r="A39" s="2" t="s">
        <v>255</v>
      </c>
      <c r="B39" s="2" t="s">
        <v>229</v>
      </c>
      <c r="C39" s="2" t="s">
        <v>249</v>
      </c>
      <c r="D39" s="2" t="s">
        <v>256</v>
      </c>
      <c r="E39" s="2" t="s">
        <v>251</v>
      </c>
      <c r="F39" s="2" t="s">
        <v>257</v>
      </c>
      <c r="G39" s="2" t="s">
        <v>38</v>
      </c>
      <c r="H39" s="2" t="s">
        <v>258</v>
      </c>
      <c r="I39" s="2" t="s">
        <v>19</v>
      </c>
      <c r="J39" s="2" t="s">
        <v>50</v>
      </c>
      <c r="K39" s="3" t="s">
        <v>259</v>
      </c>
    </row>
    <row r="40" customFormat="false" ht="68.65" hidden="false" customHeight="false" outlineLevel="0" collapsed="false">
      <c r="A40" s="2" t="s">
        <v>260</v>
      </c>
      <c r="B40" s="2" t="s">
        <v>261</v>
      </c>
      <c r="C40" s="2" t="s">
        <v>38</v>
      </c>
      <c r="D40" s="2" t="s">
        <v>262</v>
      </c>
      <c r="E40" s="2" t="s">
        <v>263</v>
      </c>
      <c r="F40" s="2" t="s">
        <v>264</v>
      </c>
      <c r="G40" s="2" t="s">
        <v>38</v>
      </c>
      <c r="H40" s="2" t="s">
        <v>265</v>
      </c>
      <c r="I40" s="2" t="s">
        <v>19</v>
      </c>
      <c r="J40" s="2" t="s">
        <v>50</v>
      </c>
      <c r="K40" s="3" t="s">
        <v>266</v>
      </c>
    </row>
    <row r="41" customFormat="false" ht="55.2" hidden="false" customHeight="false" outlineLevel="0" collapsed="false">
      <c r="A41" s="2" t="s">
        <v>267</v>
      </c>
      <c r="B41" s="2" t="s">
        <v>261</v>
      </c>
      <c r="C41" s="2" t="s">
        <v>38</v>
      </c>
      <c r="D41" s="2" t="s">
        <v>268</v>
      </c>
      <c r="E41" s="2" t="s">
        <v>269</v>
      </c>
      <c r="F41" s="2" t="s">
        <v>270</v>
      </c>
      <c r="G41" s="2" t="s">
        <v>38</v>
      </c>
      <c r="H41" s="2" t="s">
        <v>265</v>
      </c>
      <c r="I41" s="2" t="s">
        <v>19</v>
      </c>
      <c r="J41" s="2" t="s">
        <v>50</v>
      </c>
      <c r="K41" s="3" t="s">
        <v>271</v>
      </c>
    </row>
    <row r="42" customFormat="false" ht="55.2" hidden="false" customHeight="false" outlineLevel="0" collapsed="false">
      <c r="A42" s="2" t="s">
        <v>272</v>
      </c>
      <c r="B42" s="2" t="s">
        <v>273</v>
      </c>
      <c r="C42" s="2" t="s">
        <v>274</v>
      </c>
      <c r="D42" s="2" t="s">
        <v>275</v>
      </c>
      <c r="E42" s="2" t="s">
        <v>276</v>
      </c>
      <c r="F42" s="2" t="s">
        <v>277</v>
      </c>
      <c r="G42" s="2" t="s">
        <v>38</v>
      </c>
      <c r="H42" s="2" t="s">
        <v>278</v>
      </c>
      <c r="I42" s="2" t="s">
        <v>19</v>
      </c>
      <c r="J42" s="2" t="s">
        <v>50</v>
      </c>
      <c r="K42" s="3" t="s">
        <v>279</v>
      </c>
    </row>
    <row r="43" customFormat="false" ht="55.2" hidden="false" customHeight="false" outlineLevel="0" collapsed="false">
      <c r="A43" s="2" t="s">
        <v>280</v>
      </c>
      <c r="B43" s="2" t="s">
        <v>273</v>
      </c>
      <c r="C43" s="2" t="s">
        <v>274</v>
      </c>
      <c r="D43" s="2" t="s">
        <v>281</v>
      </c>
      <c r="E43" s="2" t="s">
        <v>282</v>
      </c>
      <c r="F43" s="2" t="s">
        <v>283</v>
      </c>
      <c r="G43" s="2" t="s">
        <v>38</v>
      </c>
      <c r="H43" s="2" t="s">
        <v>284</v>
      </c>
      <c r="I43" s="2" t="s">
        <v>19</v>
      </c>
      <c r="J43" s="2" t="s">
        <v>50</v>
      </c>
      <c r="K43" s="3" t="s">
        <v>285</v>
      </c>
    </row>
    <row r="44" customFormat="false" ht="41.75" hidden="false" customHeight="false" outlineLevel="0" collapsed="false">
      <c r="A44" s="2" t="s">
        <v>286</v>
      </c>
      <c r="B44" s="2" t="s">
        <v>273</v>
      </c>
      <c r="C44" s="2" t="s">
        <v>274</v>
      </c>
      <c r="D44" s="2" t="s">
        <v>287</v>
      </c>
      <c r="E44" s="2" t="s">
        <v>288</v>
      </c>
      <c r="F44" s="2" t="s">
        <v>289</v>
      </c>
      <c r="G44" s="2" t="s">
        <v>38</v>
      </c>
      <c r="H44" s="2" t="s">
        <v>290</v>
      </c>
      <c r="I44" s="2" t="s">
        <v>42</v>
      </c>
      <c r="J44" s="2" t="s">
        <v>50</v>
      </c>
      <c r="K44" s="3" t="s">
        <v>291</v>
      </c>
    </row>
    <row r="45" customFormat="false" ht="55.2" hidden="false" customHeight="false" outlineLevel="0" collapsed="false">
      <c r="A45" s="2" t="s">
        <v>292</v>
      </c>
      <c r="B45" s="2" t="s">
        <v>273</v>
      </c>
      <c r="C45" s="2" t="s">
        <v>274</v>
      </c>
      <c r="D45" s="2" t="s">
        <v>293</v>
      </c>
      <c r="E45" s="2" t="s">
        <v>294</v>
      </c>
      <c r="F45" s="2" t="s">
        <v>295</v>
      </c>
      <c r="G45" s="2" t="s">
        <v>38</v>
      </c>
      <c r="H45" s="2" t="s">
        <v>296</v>
      </c>
      <c r="I45" s="2" t="s">
        <v>19</v>
      </c>
      <c r="J45" s="2" t="s">
        <v>50</v>
      </c>
      <c r="K45" s="3" t="s">
        <v>297</v>
      </c>
    </row>
    <row r="46" customFormat="false" ht="55.2" hidden="false" customHeight="false" outlineLevel="0" collapsed="false">
      <c r="A46" s="2" t="s">
        <v>298</v>
      </c>
      <c r="B46" s="2" t="s">
        <v>299</v>
      </c>
      <c r="C46" s="2" t="s">
        <v>300</v>
      </c>
      <c r="D46" s="2" t="s">
        <v>301</v>
      </c>
      <c r="E46" s="2" t="s">
        <v>302</v>
      </c>
      <c r="F46" s="2" t="s">
        <v>303</v>
      </c>
      <c r="G46" s="2" t="s">
        <v>38</v>
      </c>
      <c r="H46" s="2" t="s">
        <v>304</v>
      </c>
      <c r="I46" s="2" t="s">
        <v>42</v>
      </c>
      <c r="J46" s="2" t="s">
        <v>50</v>
      </c>
      <c r="K46" s="3" t="s">
        <v>305</v>
      </c>
    </row>
  </sheetData>
  <autoFilter ref="A1:K46"/>
  <conditionalFormatting sqref="J2:J46">
    <cfRule type="cellIs" priority="2" operator="equal" aboveAverage="0" equalAverage="0" bottom="0" percent="0" rank="0" text="" dxfId="8">
      <formula>"Đạt"</formula>
    </cfRule>
    <cfRule type="cellIs" priority="3" operator="equal" aboveAverage="0" equalAverage="0" bottom="0" percent="0" rank="0" text="" dxfId="9">
      <formula>"Không đạt"</formula>
    </cfRule>
    <cfRule type="cellIs" priority="4" operator="equal" aboveAverage="0" equalAverage="0" bottom="0" percent="0" rank="0" text="" dxfId="10">
      <formula>"Chặn"</formula>
    </cfRule>
    <cfRule type="cellIs" priority="5" operator="equal" aboveAverage="0" equalAverage="0" bottom="0" percent="0" rank="0" text="" dxfId="11">
      <formula>"Chưa chạy"</formula>
    </cfRule>
  </conditionalFormatting>
  <dataValidations count="1">
    <dataValidation allowBlank="false" errorStyle="stop" operator="between" showDropDown="false" showErrorMessage="false" showInputMessage="false" sqref="J2:J46" type="list">
      <formula1>"Chưa chạy,Đạt,Không đạt,Chặn"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7" min="2" style="0" width="14"/>
  </cols>
  <sheetData>
    <row r="1" customFormat="false" ht="17.35" hidden="false" customHeight="false" outlineLevel="0" collapsed="false">
      <c r="A1" s="4" t="s">
        <v>306</v>
      </c>
    </row>
    <row r="2" customFormat="false" ht="15" hidden="false" customHeight="false" outlineLevel="0" collapsed="false">
      <c r="A2" s="5" t="s">
        <v>307</v>
      </c>
    </row>
    <row r="4" customFormat="false" ht="15" hidden="false" customHeight="false" outlineLevel="0" collapsed="false">
      <c r="A4" s="6" t="s">
        <v>308</v>
      </c>
    </row>
    <row r="5" customFormat="false" ht="31.5" hidden="false" customHeight="true" outlineLevel="0" collapsed="false">
      <c r="A5" s="7" t="s">
        <v>309</v>
      </c>
      <c r="B5" s="8" t="s">
        <v>310</v>
      </c>
      <c r="C5" s="8"/>
      <c r="D5" s="8"/>
      <c r="E5" s="8"/>
      <c r="F5" s="8"/>
      <c r="G5" s="8"/>
    </row>
    <row r="6" customFormat="false" ht="18" hidden="false" customHeight="true" outlineLevel="0" collapsed="false">
      <c r="A6" s="7" t="s">
        <v>311</v>
      </c>
      <c r="B6" s="8" t="s">
        <v>312</v>
      </c>
      <c r="C6" s="8"/>
      <c r="D6" s="8"/>
      <c r="E6" s="8"/>
      <c r="F6" s="8"/>
      <c r="G6" s="8"/>
    </row>
    <row r="7" customFormat="false" ht="18" hidden="false" customHeight="true" outlineLevel="0" collapsed="false">
      <c r="A7" s="7" t="s">
        <v>313</v>
      </c>
      <c r="B7" s="8" t="s">
        <v>314</v>
      </c>
      <c r="C7" s="8"/>
      <c r="D7" s="8"/>
      <c r="E7" s="8"/>
      <c r="F7" s="8"/>
      <c r="G7" s="8"/>
    </row>
    <row r="8" customFormat="false" ht="45.75" hidden="false" customHeight="true" outlineLevel="0" collapsed="false">
      <c r="A8" s="7" t="s">
        <v>315</v>
      </c>
      <c r="B8" s="8" t="s">
        <v>316</v>
      </c>
      <c r="C8" s="8"/>
      <c r="D8" s="8"/>
      <c r="E8" s="8"/>
      <c r="F8" s="8"/>
      <c r="G8" s="8"/>
    </row>
    <row r="9" customFormat="false" ht="45.75" hidden="false" customHeight="true" outlineLevel="0" collapsed="false">
      <c r="A9" s="7" t="s">
        <v>317</v>
      </c>
      <c r="B9" s="8" t="s">
        <v>318</v>
      </c>
      <c r="C9" s="8"/>
      <c r="D9" s="8"/>
      <c r="E9" s="8"/>
      <c r="F9" s="8"/>
      <c r="G9" s="8"/>
    </row>
    <row r="10" customFormat="false" ht="45.75" hidden="false" customHeight="true" outlineLevel="0" collapsed="false">
      <c r="A10" s="7" t="s">
        <v>319</v>
      </c>
      <c r="B10" s="8" t="s">
        <v>320</v>
      </c>
      <c r="C10" s="8"/>
      <c r="D10" s="8"/>
      <c r="E10" s="8"/>
      <c r="F10" s="8"/>
      <c r="G10" s="8"/>
    </row>
    <row r="12" customFormat="false" ht="15" hidden="false" customHeight="false" outlineLevel="0" collapsed="false">
      <c r="A12" s="6" t="s">
        <v>321</v>
      </c>
    </row>
    <row r="13" customFormat="false" ht="15" hidden="false" customHeight="false" outlineLevel="0" collapsed="false">
      <c r="A13" s="9" t="s">
        <v>322</v>
      </c>
      <c r="B13" s="10" t="s">
        <v>323</v>
      </c>
      <c r="C13" s="10" t="s">
        <v>324</v>
      </c>
    </row>
    <row r="14" customFormat="false" ht="15" hidden="false" customHeight="false" outlineLevel="0" collapsed="false">
      <c r="A14" s="11" t="s">
        <v>325</v>
      </c>
      <c r="B14" s="12" t="n">
        <f aca="false">COUNTA('Test cases'!$A$2:$A$200)</f>
        <v>45</v>
      </c>
      <c r="C14" s="13"/>
    </row>
    <row r="15" customFormat="false" ht="15" hidden="false" customHeight="false" outlineLevel="0" collapsed="false">
      <c r="A15" s="14" t="s">
        <v>20</v>
      </c>
      <c r="B15" s="12" t="n">
        <f aca="false">COUNTIF('Test cases'!$J$2:$J$200,"Đạt")</f>
        <v>20</v>
      </c>
      <c r="C15" s="13" t="n">
        <f aca="false">IF($B$14=0,0,B15/$B$14)</f>
        <v>0.444444444444444</v>
      </c>
    </row>
    <row r="16" customFormat="false" ht="15" hidden="false" customHeight="false" outlineLevel="0" collapsed="false">
      <c r="A16" s="14" t="s">
        <v>50</v>
      </c>
      <c r="B16" s="12" t="n">
        <f aca="false">COUNTIF('Test cases'!$J$2:$J$200,"Không đạt")</f>
        <v>25</v>
      </c>
      <c r="C16" s="13" t="n">
        <f aca="false">IF($B$14=0,0,B16/$B$14)</f>
        <v>0.555555555555556</v>
      </c>
    </row>
    <row r="17" customFormat="false" ht="15" hidden="false" customHeight="false" outlineLevel="0" collapsed="false">
      <c r="A17" s="14" t="s">
        <v>326</v>
      </c>
      <c r="B17" s="12" t="n">
        <f aca="false">COUNTIF('Test cases'!$J$2:$J$200,"Chặn")</f>
        <v>0</v>
      </c>
      <c r="C17" s="13" t="n">
        <f aca="false">IF($B$14=0,0,B17/$B$14)</f>
        <v>0</v>
      </c>
    </row>
    <row r="18" customFormat="false" ht="15" hidden="false" customHeight="false" outlineLevel="0" collapsed="false">
      <c r="A18" s="14" t="s">
        <v>327</v>
      </c>
      <c r="B18" s="12" t="n">
        <f aca="false">COUNTIF('Test cases'!$J$2:$J$200,"Chưa chạy")</f>
        <v>0</v>
      </c>
      <c r="C18" s="13" t="n">
        <f aca="false">IF($B$14=0,0,B18/$B$14)</f>
        <v>0</v>
      </c>
    </row>
    <row r="20" customFormat="false" ht="15" hidden="false" customHeight="false" outlineLevel="0" collapsed="false">
      <c r="A20" s="6" t="s">
        <v>328</v>
      </c>
    </row>
    <row r="21" customFormat="false" ht="15" hidden="false" customHeight="true" outlineLevel="0" collapsed="false">
      <c r="A21" s="9" t="s">
        <v>329</v>
      </c>
      <c r="B21" s="10" t="s">
        <v>330</v>
      </c>
      <c r="C21" s="10" t="s">
        <v>331</v>
      </c>
      <c r="D21" s="10" t="s">
        <v>332</v>
      </c>
      <c r="E21" s="10" t="s">
        <v>333</v>
      </c>
      <c r="F21" s="10"/>
      <c r="G21" s="10"/>
    </row>
    <row r="22" customFormat="false" ht="31.5" hidden="false" customHeight="true" outlineLevel="0" collapsed="false">
      <c r="A22" s="14" t="s">
        <v>334</v>
      </c>
      <c r="B22" s="15" t="n">
        <f aca="false">IF(COUNTIF('Test cases'!$I$2:$I$200,"Cao")=0,0,COUNTIFS('Test cases'!$I$2:$I$200,"Cao",'Test cases'!$J$2:$J$200,"Đạt")/COUNTIF('Test cases'!$I$2:$I$200,"Cao"))</f>
        <v>0.470588235294118</v>
      </c>
      <c r="C22" s="15" t="n">
        <v>1</v>
      </c>
      <c r="D22" s="16" t="str">
        <f aca="false">IF(B22&gt;=C22,"ĐẠT","CHƯA ĐẠT")</f>
        <v>CHƯA ĐẠT</v>
      </c>
      <c r="E22" s="17" t="str">
        <f aca="false">COUNTIFS('Test cases'!$I$2:$I$200,"Cao",'Test cases'!$J$2:$J$200,"Đạt")&amp;"/"&amp;COUNTIF('Test cases'!$I$2:$I$200,"Cao")&amp;" TC mức Cao đạt"</f>
        <v>16/34 TC mức Cao đạt</v>
      </c>
      <c r="F22" s="17"/>
      <c r="G22" s="17"/>
    </row>
    <row r="23" customFormat="false" ht="31.5" hidden="false" customHeight="true" outlineLevel="0" collapsed="false">
      <c r="A23" s="14" t="s">
        <v>335</v>
      </c>
      <c r="B23" s="18" t="n">
        <f aca="false">COUNTIFS('Danh sách lỗi'!$B$2:$B$200,"Nghiêm trọng",'Danh sách lỗi'!$I$2:$I$200,"&lt;&gt;Đã đóng")</f>
        <v>6</v>
      </c>
      <c r="C23" s="18" t="n">
        <v>0</v>
      </c>
      <c r="D23" s="16" t="str">
        <f aca="false">IF(B23&lt;=C23,"ĐẠT","CHƯA ĐẠT")</f>
        <v>CHƯA ĐẠT</v>
      </c>
      <c r="E23" s="17" t="str">
        <f aca="false">"lỗi nghiêm trọng đang mở"</f>
        <v>lỗi nghiêm trọng đang mở</v>
      </c>
      <c r="F23" s="17"/>
      <c r="G23" s="17"/>
    </row>
    <row r="24" customFormat="false" ht="31.5" hidden="false" customHeight="true" outlineLevel="0" collapsed="false">
      <c r="A24" s="14" t="s">
        <v>336</v>
      </c>
      <c r="B24" s="19" t="n">
        <f aca="false">IF($B$14=0,0,$B$15/$B$14)</f>
        <v>0.444444444444444</v>
      </c>
      <c r="C24" s="19" t="n">
        <v>0.9</v>
      </c>
      <c r="D24" s="16" t="str">
        <f aca="false">IF(B24&gt;=C24,"ĐẠT","CHƯA ĐẠT")</f>
        <v>CHƯA ĐẠT</v>
      </c>
      <c r="E24" s="17" t="str">
        <f aca="false">$B$15&amp;"/"&amp;$B$14&amp;" test case đạt"</f>
        <v>20/45 test case đạt</v>
      </c>
      <c r="F24" s="17"/>
      <c r="G24" s="17"/>
    </row>
    <row r="26" customFormat="false" ht="15" hidden="false" customHeight="false" outlineLevel="0" collapsed="false">
      <c r="A26" s="6" t="s">
        <v>337</v>
      </c>
    </row>
    <row r="27" customFormat="false" ht="15" hidden="false" customHeight="false" outlineLevel="0" collapsed="false">
      <c r="A27" s="9" t="s">
        <v>1</v>
      </c>
      <c r="B27" s="10" t="s">
        <v>338</v>
      </c>
      <c r="C27" s="10" t="s">
        <v>20</v>
      </c>
      <c r="D27" s="10" t="s">
        <v>50</v>
      </c>
      <c r="E27" s="10" t="s">
        <v>326</v>
      </c>
      <c r="F27" s="10" t="s">
        <v>327</v>
      </c>
      <c r="G27" s="10" t="s">
        <v>339</v>
      </c>
    </row>
    <row r="28" customFormat="false" ht="15" hidden="false" customHeight="false" outlineLevel="0" collapsed="false">
      <c r="A28" s="14" t="s">
        <v>12</v>
      </c>
      <c r="B28" s="12" t="n">
        <f aca="false">COUNTIF('Test cases'!$B$2:$B$200,$A28)</f>
        <v>7</v>
      </c>
      <c r="C28" s="12" t="n">
        <f aca="false">COUNTIFS('Test cases'!$B$2:$B$200,$A28,'Test cases'!$J$2:$J$200,"Đạt")</f>
        <v>4</v>
      </c>
      <c r="D28" s="12" t="n">
        <f aca="false">COUNTIFS('Test cases'!$B$2:$B$200,$A28,'Test cases'!$J$2:$J$200,"Không đạt")</f>
        <v>3</v>
      </c>
      <c r="E28" s="12" t="n">
        <f aca="false">COUNTIFS('Test cases'!$B$2:$B$200,$A28,'Test cases'!$J$2:$J$200,"Chặn")</f>
        <v>0</v>
      </c>
      <c r="F28" s="12" t="n">
        <f aca="false">COUNTIFS('Test cases'!$B$2:$B$200,$A28,'Test cases'!$J$2:$J$200,"Chưa chạy")</f>
        <v>0</v>
      </c>
      <c r="G28" s="20" t="n">
        <f aca="false">IF(B28=0,0,C28/B28)</f>
        <v>0.571428571428571</v>
      </c>
    </row>
    <row r="29" customFormat="false" ht="15" hidden="false" customHeight="false" outlineLevel="0" collapsed="false">
      <c r="A29" s="14" t="s">
        <v>66</v>
      </c>
      <c r="B29" s="12" t="n">
        <f aca="false">COUNTIF('Test cases'!$B$2:$B$200,$A29)</f>
        <v>17</v>
      </c>
      <c r="C29" s="12" t="n">
        <f aca="false">COUNTIFS('Test cases'!$B$2:$B$200,$A29,'Test cases'!$J$2:$J$200,"Đạt")</f>
        <v>6</v>
      </c>
      <c r="D29" s="12" t="n">
        <f aca="false">COUNTIFS('Test cases'!$B$2:$B$200,$A29,'Test cases'!$J$2:$J$200,"Không đạt")</f>
        <v>11</v>
      </c>
      <c r="E29" s="12" t="n">
        <f aca="false">COUNTIFS('Test cases'!$B$2:$B$200,$A29,'Test cases'!$J$2:$J$200,"Chặn")</f>
        <v>0</v>
      </c>
      <c r="F29" s="12" t="n">
        <f aca="false">COUNTIFS('Test cases'!$B$2:$B$200,$A29,'Test cases'!$J$2:$J$200,"Chưa chạy")</f>
        <v>0</v>
      </c>
      <c r="G29" s="20" t="n">
        <f aca="false">IF(B29=0,0,C29/B29)</f>
        <v>0.352941176470588</v>
      </c>
    </row>
    <row r="30" customFormat="false" ht="15" hidden="false" customHeight="false" outlineLevel="0" collapsed="false">
      <c r="A30" s="14" t="s">
        <v>171</v>
      </c>
      <c r="B30" s="12" t="n">
        <f aca="false">COUNTIF('Test cases'!$B$2:$B$200,$A30)</f>
        <v>2</v>
      </c>
      <c r="C30" s="12" t="n">
        <f aca="false">COUNTIFS('Test cases'!$B$2:$B$200,$A30,'Test cases'!$J$2:$J$200,"Đạt")</f>
        <v>2</v>
      </c>
      <c r="D30" s="12" t="n">
        <f aca="false">COUNTIFS('Test cases'!$B$2:$B$200,$A30,'Test cases'!$J$2:$J$200,"Không đạt")</f>
        <v>0</v>
      </c>
      <c r="E30" s="12" t="n">
        <f aca="false">COUNTIFS('Test cases'!$B$2:$B$200,$A30,'Test cases'!$J$2:$J$200,"Chặn")</f>
        <v>0</v>
      </c>
      <c r="F30" s="12" t="n">
        <f aca="false">COUNTIFS('Test cases'!$B$2:$B$200,$A30,'Test cases'!$J$2:$J$200,"Chưa chạy")</f>
        <v>0</v>
      </c>
      <c r="G30" s="20" t="n">
        <f aca="false">IF(B30=0,0,C30/B30)</f>
        <v>1</v>
      </c>
    </row>
    <row r="31" customFormat="false" ht="15" hidden="false" customHeight="false" outlineLevel="0" collapsed="false">
      <c r="A31" s="14" t="s">
        <v>185</v>
      </c>
      <c r="B31" s="12" t="n">
        <f aca="false">COUNTIF('Test cases'!$B$2:$B$200,$A31)</f>
        <v>7</v>
      </c>
      <c r="C31" s="12" t="n">
        <f aca="false">COUNTIFS('Test cases'!$B$2:$B$200,$A31,'Test cases'!$J$2:$J$200,"Đạt")</f>
        <v>4</v>
      </c>
      <c r="D31" s="12" t="n">
        <f aca="false">COUNTIFS('Test cases'!$B$2:$B$200,$A31,'Test cases'!$J$2:$J$200,"Không đạt")</f>
        <v>3</v>
      </c>
      <c r="E31" s="12" t="n">
        <f aca="false">COUNTIFS('Test cases'!$B$2:$B$200,$A31,'Test cases'!$J$2:$J$200,"Chặn")</f>
        <v>0</v>
      </c>
      <c r="F31" s="12" t="n">
        <f aca="false">COUNTIFS('Test cases'!$B$2:$B$200,$A31,'Test cases'!$J$2:$J$200,"Chưa chạy")</f>
        <v>0</v>
      </c>
      <c r="G31" s="20" t="n">
        <f aca="false">IF(B31=0,0,C31/B31)</f>
        <v>0.571428571428571</v>
      </c>
    </row>
    <row r="32" customFormat="false" ht="15" hidden="false" customHeight="false" outlineLevel="0" collapsed="false">
      <c r="A32" s="14" t="s">
        <v>229</v>
      </c>
      <c r="B32" s="12" t="n">
        <f aca="false">COUNTIF('Test cases'!$B$2:$B$200,$A32)</f>
        <v>5</v>
      </c>
      <c r="C32" s="12" t="n">
        <f aca="false">COUNTIFS('Test cases'!$B$2:$B$200,$A32,'Test cases'!$J$2:$J$200,"Đạt")</f>
        <v>4</v>
      </c>
      <c r="D32" s="12" t="n">
        <f aca="false">COUNTIFS('Test cases'!$B$2:$B$200,$A32,'Test cases'!$J$2:$J$200,"Không đạt")</f>
        <v>1</v>
      </c>
      <c r="E32" s="12" t="n">
        <f aca="false">COUNTIFS('Test cases'!$B$2:$B$200,$A32,'Test cases'!$J$2:$J$200,"Chặn")</f>
        <v>0</v>
      </c>
      <c r="F32" s="12" t="n">
        <f aca="false">COUNTIFS('Test cases'!$B$2:$B$200,$A32,'Test cases'!$J$2:$J$200,"Chưa chạy")</f>
        <v>0</v>
      </c>
      <c r="G32" s="20" t="n">
        <f aca="false">IF(B32=0,0,C32/B32)</f>
        <v>0.8</v>
      </c>
    </row>
    <row r="33" customFormat="false" ht="15" hidden="false" customHeight="false" outlineLevel="0" collapsed="false">
      <c r="A33" s="14" t="s">
        <v>261</v>
      </c>
      <c r="B33" s="12" t="n">
        <f aca="false">COUNTIF('Test cases'!$B$2:$B$200,$A33)</f>
        <v>2</v>
      </c>
      <c r="C33" s="12" t="n">
        <f aca="false">COUNTIFS('Test cases'!$B$2:$B$200,$A33,'Test cases'!$J$2:$J$200,"Đạt")</f>
        <v>0</v>
      </c>
      <c r="D33" s="12" t="n">
        <f aca="false">COUNTIFS('Test cases'!$B$2:$B$200,$A33,'Test cases'!$J$2:$J$200,"Không đạt")</f>
        <v>2</v>
      </c>
      <c r="E33" s="12" t="n">
        <f aca="false">COUNTIFS('Test cases'!$B$2:$B$200,$A33,'Test cases'!$J$2:$J$200,"Chặn")</f>
        <v>0</v>
      </c>
      <c r="F33" s="12" t="n">
        <f aca="false">COUNTIFS('Test cases'!$B$2:$B$200,$A33,'Test cases'!$J$2:$J$200,"Chưa chạy")</f>
        <v>0</v>
      </c>
      <c r="G33" s="20" t="n">
        <f aca="false">IF(B33=0,0,C33/B33)</f>
        <v>0</v>
      </c>
    </row>
    <row r="34" customFormat="false" ht="15" hidden="false" customHeight="false" outlineLevel="0" collapsed="false">
      <c r="A34" s="14" t="s">
        <v>273</v>
      </c>
      <c r="B34" s="12" t="n">
        <f aca="false">COUNTIF('Test cases'!$B$2:$B$200,$A34)</f>
        <v>4</v>
      </c>
      <c r="C34" s="12" t="n">
        <f aca="false">COUNTIFS('Test cases'!$B$2:$B$200,$A34,'Test cases'!$J$2:$J$200,"Đạt")</f>
        <v>0</v>
      </c>
      <c r="D34" s="12" t="n">
        <f aca="false">COUNTIFS('Test cases'!$B$2:$B$200,$A34,'Test cases'!$J$2:$J$200,"Không đạt")</f>
        <v>4</v>
      </c>
      <c r="E34" s="12" t="n">
        <f aca="false">COUNTIFS('Test cases'!$B$2:$B$200,$A34,'Test cases'!$J$2:$J$200,"Chặn")</f>
        <v>0</v>
      </c>
      <c r="F34" s="12" t="n">
        <f aca="false">COUNTIFS('Test cases'!$B$2:$B$200,$A34,'Test cases'!$J$2:$J$200,"Chưa chạy")</f>
        <v>0</v>
      </c>
      <c r="G34" s="20" t="n">
        <f aca="false">IF(B34=0,0,C34/B34)</f>
        <v>0</v>
      </c>
    </row>
    <row r="35" customFormat="false" ht="15" hidden="false" customHeight="false" outlineLevel="0" collapsed="false">
      <c r="A35" s="14" t="s">
        <v>299</v>
      </c>
      <c r="B35" s="12" t="n">
        <f aca="false">COUNTIF('Test cases'!$B$2:$B$200,$A35)</f>
        <v>1</v>
      </c>
      <c r="C35" s="12" t="n">
        <f aca="false">COUNTIFS('Test cases'!$B$2:$B$200,$A35,'Test cases'!$J$2:$J$200,"Đạt")</f>
        <v>0</v>
      </c>
      <c r="D35" s="12" t="n">
        <f aca="false">COUNTIFS('Test cases'!$B$2:$B$200,$A35,'Test cases'!$J$2:$J$200,"Không đạt")</f>
        <v>1</v>
      </c>
      <c r="E35" s="12" t="n">
        <f aca="false">COUNTIFS('Test cases'!$B$2:$B$200,$A35,'Test cases'!$J$2:$J$200,"Chặn")</f>
        <v>0</v>
      </c>
      <c r="F35" s="12" t="n">
        <f aca="false">COUNTIFS('Test cases'!$B$2:$B$200,$A35,'Test cases'!$J$2:$J$200,"Chưa chạy")</f>
        <v>0</v>
      </c>
      <c r="G35" s="20" t="n">
        <f aca="false">IF(B35=0,0,C35/B35)</f>
        <v>0</v>
      </c>
    </row>
    <row r="36" customFormat="false" ht="15" hidden="false" customHeight="false" outlineLevel="0" collapsed="false">
      <c r="A36" s="11" t="s">
        <v>340</v>
      </c>
      <c r="B36" s="21" t="n">
        <f aca="false">SUM(B28:B35)</f>
        <v>45</v>
      </c>
      <c r="C36" s="21" t="n">
        <f aca="false">SUM(C28:C35)</f>
        <v>20</v>
      </c>
      <c r="D36" s="21" t="n">
        <f aca="false">SUM(D28:D35)</f>
        <v>25</v>
      </c>
      <c r="E36" s="21" t="n">
        <f aca="false">SUM(E28:E35)</f>
        <v>0</v>
      </c>
      <c r="F36" s="21" t="n">
        <f aca="false">SUM(F28:F35)</f>
        <v>0</v>
      </c>
      <c r="G36" s="22" t="n">
        <f aca="false">IF(B36=0,0,C36/B36)</f>
        <v>0.444444444444444</v>
      </c>
    </row>
    <row r="38" customFormat="false" ht="15" hidden="false" customHeight="false" outlineLevel="0" collapsed="false">
      <c r="A38" s="6" t="s">
        <v>341</v>
      </c>
    </row>
    <row r="39" customFormat="false" ht="15" hidden="false" customHeight="false" outlineLevel="0" collapsed="false">
      <c r="A39" s="9" t="s">
        <v>342</v>
      </c>
      <c r="B39" s="10" t="s">
        <v>343</v>
      </c>
      <c r="C39" s="10" t="s">
        <v>344</v>
      </c>
    </row>
    <row r="40" customFormat="false" ht="15" hidden="false" customHeight="false" outlineLevel="0" collapsed="false">
      <c r="A40" s="14" t="s">
        <v>345</v>
      </c>
      <c r="B40" s="12" t="n">
        <f aca="false">COUNTIF('Danh sách lỗi'!$B$2:$B$200,$A40)</f>
        <v>6</v>
      </c>
      <c r="C40" s="12" t="n">
        <f aca="false">COUNTIFS('Danh sách lỗi'!$B$2:$B$200,$A40,'Danh sách lỗi'!$I$2:$I$200,"&lt;&gt;Đã đóng")</f>
        <v>6</v>
      </c>
    </row>
    <row r="41" customFormat="false" ht="15" hidden="false" customHeight="false" outlineLevel="0" collapsed="false">
      <c r="A41" s="14" t="s">
        <v>19</v>
      </c>
      <c r="B41" s="12" t="n">
        <f aca="false">COUNTIF('Danh sách lỗi'!$B$2:$B$200,$A41)</f>
        <v>14</v>
      </c>
      <c r="C41" s="12" t="n">
        <f aca="false">COUNTIFS('Danh sách lỗi'!$B$2:$B$200,$A41,'Danh sách lỗi'!$I$2:$I$200,"&lt;&gt;Đã đóng")</f>
        <v>14</v>
      </c>
    </row>
    <row r="42" customFormat="false" ht="15" hidden="false" customHeight="false" outlineLevel="0" collapsed="false">
      <c r="A42" s="14" t="s">
        <v>42</v>
      </c>
      <c r="B42" s="12" t="n">
        <f aca="false">COUNTIF('Danh sách lỗi'!$B$2:$B$200,$A42)</f>
        <v>12</v>
      </c>
      <c r="C42" s="12" t="n">
        <f aca="false">COUNTIFS('Danh sách lỗi'!$B$2:$B$200,$A42,'Danh sách lỗi'!$I$2:$I$200,"&lt;&gt;Đã đóng")</f>
        <v>12</v>
      </c>
    </row>
    <row r="43" customFormat="false" ht="15" hidden="false" customHeight="false" outlineLevel="0" collapsed="false">
      <c r="A43" s="14" t="s">
        <v>346</v>
      </c>
      <c r="B43" s="12" t="n">
        <f aca="false">COUNTIF('Danh sách lỗi'!$B$2:$B$200,$A43)</f>
        <v>2</v>
      </c>
      <c r="C43" s="12" t="n">
        <f aca="false">COUNTIFS('Danh sách lỗi'!$B$2:$B$200,$A43,'Danh sách lỗi'!$I$2:$I$200,"&lt;&gt;Đã đóng")</f>
        <v>2</v>
      </c>
    </row>
    <row r="44" customFormat="false" ht="15" hidden="false" customHeight="false" outlineLevel="0" collapsed="false">
      <c r="A44" s="11" t="s">
        <v>340</v>
      </c>
      <c r="B44" s="21" t="n">
        <f aca="false">SUM(B40:B43)</f>
        <v>34</v>
      </c>
      <c r="C44" s="21" t="n">
        <f aca="false">SUM(C40:C43)</f>
        <v>34</v>
      </c>
    </row>
    <row r="46" customFormat="false" ht="15" hidden="false" customHeight="false" outlineLevel="0" collapsed="false">
      <c r="A46" s="6" t="s">
        <v>347</v>
      </c>
    </row>
    <row r="47" customFormat="false" ht="15" hidden="false" customHeight="false" outlineLevel="0" collapsed="false">
      <c r="A47" s="9" t="s">
        <v>322</v>
      </c>
      <c r="B47" s="10" t="s">
        <v>323</v>
      </c>
    </row>
    <row r="48" customFormat="false" ht="15" hidden="false" customHeight="false" outlineLevel="0" collapsed="false">
      <c r="A48" s="14" t="s">
        <v>348</v>
      </c>
      <c r="B48" s="12" t="n">
        <f aca="false">COUNTA('Chi tiết lần chạy'!$B$2:$B$400)</f>
        <v>159</v>
      </c>
    </row>
    <row r="49" customFormat="false" ht="15" hidden="false" customHeight="false" outlineLevel="0" collapsed="false">
      <c r="A49" s="14" t="s">
        <v>20</v>
      </c>
      <c r="B49" s="12" t="n">
        <f aca="false">COUNTIF('Chi tiết lần chạy'!$E$2:$E$400,"Đạt")</f>
        <v>73</v>
      </c>
    </row>
    <row r="50" customFormat="false" ht="15" hidden="false" customHeight="false" outlineLevel="0" collapsed="false">
      <c r="A50" s="14" t="s">
        <v>50</v>
      </c>
      <c r="B50" s="12" t="n">
        <f aca="false">COUNTIF('Chi tiết lần chạy'!$E$2:$E$400,"Không đạt")</f>
        <v>86</v>
      </c>
    </row>
    <row r="51" customFormat="false" ht="15" hidden="false" customHeight="false" outlineLevel="0" collapsed="false">
      <c r="A51" s="14" t="s">
        <v>349</v>
      </c>
      <c r="B51" s="12" t="n">
        <f aca="false">COUNTA('Danh sách lỗi'!$A$2:$A$200)</f>
        <v>34</v>
      </c>
    </row>
    <row r="53" customFormat="false" ht="15" hidden="false" customHeight="false" outlineLevel="0" collapsed="false">
      <c r="A53" s="6" t="s">
        <v>350</v>
      </c>
    </row>
    <row r="54" customFormat="false" ht="48" hidden="false" customHeight="true" outlineLevel="0" collapsed="false">
      <c r="A54" s="8" t="s">
        <v>351</v>
      </c>
      <c r="B54" s="8"/>
      <c r="C54" s="8"/>
      <c r="D54" s="8"/>
      <c r="E54" s="8"/>
      <c r="F54" s="8"/>
      <c r="G54" s="8"/>
    </row>
    <row r="55" customFormat="false" ht="48" hidden="false" customHeight="true" outlineLevel="0" collapsed="false">
      <c r="A55" s="8" t="s">
        <v>352</v>
      </c>
      <c r="B55" s="8"/>
      <c r="C55" s="8"/>
      <c r="D55" s="8"/>
      <c r="E55" s="8"/>
      <c r="F55" s="8"/>
      <c r="G55" s="8"/>
    </row>
    <row r="56" customFormat="false" ht="33.75" hidden="false" customHeight="true" outlineLevel="0" collapsed="false">
      <c r="A56" s="8" t="s">
        <v>353</v>
      </c>
      <c r="B56" s="8"/>
      <c r="C56" s="8"/>
      <c r="D56" s="8"/>
      <c r="E56" s="8"/>
      <c r="F56" s="8"/>
      <c r="G56" s="8"/>
    </row>
    <row r="57" customFormat="false" ht="48" hidden="false" customHeight="true" outlineLevel="0" collapsed="false">
      <c r="A57" s="8" t="s">
        <v>354</v>
      </c>
      <c r="B57" s="8"/>
      <c r="C57" s="8"/>
      <c r="D57" s="8"/>
      <c r="E57" s="8"/>
      <c r="F57" s="8"/>
      <c r="G57" s="8"/>
    </row>
    <row r="58" customFormat="false" ht="48" hidden="false" customHeight="true" outlineLevel="0" collapsed="false">
      <c r="A58" s="8" t="s">
        <v>355</v>
      </c>
      <c r="B58" s="8"/>
      <c r="C58" s="8"/>
      <c r="D58" s="8"/>
      <c r="E58" s="8"/>
      <c r="F58" s="8"/>
      <c r="G58" s="8"/>
    </row>
    <row r="59" customFormat="false" ht="33.75" hidden="false" customHeight="true" outlineLevel="0" collapsed="false">
      <c r="A59" s="8" t="s">
        <v>356</v>
      </c>
      <c r="B59" s="8"/>
      <c r="C59" s="8"/>
      <c r="D59" s="8"/>
      <c r="E59" s="8"/>
      <c r="F59" s="8"/>
      <c r="G59" s="8"/>
    </row>
  </sheetData>
  <mergeCells count="16">
    <mergeCell ref="B5:G5"/>
    <mergeCell ref="B6:G6"/>
    <mergeCell ref="B7:G7"/>
    <mergeCell ref="B8:G8"/>
    <mergeCell ref="B9:G9"/>
    <mergeCell ref="B10:G10"/>
    <mergeCell ref="E21:G21"/>
    <mergeCell ref="E22:G22"/>
    <mergeCell ref="E23:G23"/>
    <mergeCell ref="E24:G24"/>
    <mergeCell ref="A54:G54"/>
    <mergeCell ref="A55:G55"/>
    <mergeCell ref="A56:G56"/>
    <mergeCell ref="A57:G57"/>
    <mergeCell ref="A58:G58"/>
    <mergeCell ref="A59:G59"/>
  </mergeCells>
  <conditionalFormatting sqref="D22:D24">
    <cfRule type="cellIs" priority="2" operator="equal" aboveAverage="0" equalAverage="0" bottom="0" percent="0" rank="0" text="" dxfId="12">
      <formula>"ĐẠT"</formula>
    </cfRule>
    <cfRule type="cellIs" priority="3" operator="equal" aboveAverage="0" equalAverage="0" bottom="0" percent="0" rank="0" text="" dxfId="13">
      <formula>"CHƯA ĐẠT"</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3"/>
    <col collapsed="false" customWidth="true" hidden="false" outlineLevel="0" max="3" min="3" style="0" width="38"/>
    <col collapsed="false" customWidth="true" hidden="false" outlineLevel="0" max="4" min="4" style="0" width="62"/>
    <col collapsed="false" customWidth="true" hidden="false" outlineLevel="0" max="5" min="5" style="0" width="18"/>
    <col collapsed="false" customWidth="true" hidden="false" outlineLevel="0" max="6" min="6" style="0" width="30"/>
    <col collapsed="false" customWidth="true" hidden="false" outlineLevel="0" max="7" min="7" style="0" width="40"/>
    <col collapsed="false" customWidth="true" hidden="false" outlineLevel="0" max="8" min="8" style="0" width="55"/>
    <col collapsed="false" customWidth="true" hidden="false" outlineLevel="0" max="9" min="9" style="0" width="12"/>
  </cols>
  <sheetData>
    <row r="1" customFormat="false" ht="15" hidden="false" customHeight="false" outlineLevel="0" collapsed="false">
      <c r="A1" s="1" t="s">
        <v>357</v>
      </c>
      <c r="B1" s="1" t="s">
        <v>8</v>
      </c>
      <c r="C1" s="1" t="s">
        <v>3</v>
      </c>
      <c r="D1" s="1" t="s">
        <v>358</v>
      </c>
      <c r="E1" s="1" t="s">
        <v>359</v>
      </c>
      <c r="F1" s="1" t="s">
        <v>360</v>
      </c>
      <c r="G1" s="1" t="s">
        <v>361</v>
      </c>
      <c r="H1" s="1" t="s">
        <v>362</v>
      </c>
      <c r="I1" s="1" t="s">
        <v>9</v>
      </c>
    </row>
    <row r="2" customFormat="false" ht="82.05" hidden="false" customHeight="false" outlineLevel="0" collapsed="false">
      <c r="A2" s="3" t="s">
        <v>363</v>
      </c>
      <c r="B2" s="3" t="s">
        <v>345</v>
      </c>
      <c r="C2" s="3" t="s">
        <v>364</v>
      </c>
      <c r="D2" s="3" t="s">
        <v>365</v>
      </c>
      <c r="E2" s="3" t="s">
        <v>260</v>
      </c>
      <c r="F2" s="3" t="s">
        <v>366</v>
      </c>
      <c r="G2" s="3" t="s">
        <v>367</v>
      </c>
      <c r="H2" s="3" t="s">
        <v>368</v>
      </c>
      <c r="I2" s="3" t="s">
        <v>369</v>
      </c>
    </row>
    <row r="3" customFormat="false" ht="95.5" hidden="false" customHeight="false" outlineLevel="0" collapsed="false">
      <c r="A3" s="3" t="s">
        <v>370</v>
      </c>
      <c r="B3" s="3" t="s">
        <v>345</v>
      </c>
      <c r="C3" s="3" t="s">
        <v>371</v>
      </c>
      <c r="D3" s="3" t="s">
        <v>372</v>
      </c>
      <c r="E3" s="3" t="s">
        <v>260</v>
      </c>
      <c r="F3" s="3" t="s">
        <v>373</v>
      </c>
      <c r="G3" s="3" t="s">
        <v>374</v>
      </c>
      <c r="H3" s="3" t="s">
        <v>375</v>
      </c>
      <c r="I3" s="3" t="s">
        <v>369</v>
      </c>
    </row>
    <row r="4" customFormat="false" ht="82.05" hidden="false" customHeight="false" outlineLevel="0" collapsed="false">
      <c r="A4" s="3" t="s">
        <v>376</v>
      </c>
      <c r="B4" s="3" t="s">
        <v>345</v>
      </c>
      <c r="C4" s="3" t="s">
        <v>377</v>
      </c>
      <c r="D4" s="3" t="s">
        <v>378</v>
      </c>
      <c r="E4" s="3" t="s">
        <v>267</v>
      </c>
      <c r="F4" s="3" t="s">
        <v>379</v>
      </c>
      <c r="G4" s="3" t="s">
        <v>380</v>
      </c>
      <c r="H4" s="3" t="s">
        <v>381</v>
      </c>
      <c r="I4" s="3" t="s">
        <v>369</v>
      </c>
    </row>
    <row r="5" customFormat="false" ht="82.05" hidden="false" customHeight="false" outlineLevel="0" collapsed="false">
      <c r="A5" s="3" t="s">
        <v>382</v>
      </c>
      <c r="B5" s="3" t="s">
        <v>345</v>
      </c>
      <c r="C5" s="3" t="s">
        <v>383</v>
      </c>
      <c r="D5" s="3" t="s">
        <v>384</v>
      </c>
      <c r="E5" s="3" t="s">
        <v>38</v>
      </c>
      <c r="F5" s="3" t="s">
        <v>385</v>
      </c>
      <c r="G5" s="3" t="s">
        <v>386</v>
      </c>
      <c r="H5" s="3" t="s">
        <v>387</v>
      </c>
      <c r="I5" s="3" t="s">
        <v>369</v>
      </c>
    </row>
    <row r="6" customFormat="false" ht="68.65" hidden="false" customHeight="false" outlineLevel="0" collapsed="false">
      <c r="A6" s="3" t="s">
        <v>388</v>
      </c>
      <c r="B6" s="3" t="s">
        <v>345</v>
      </c>
      <c r="C6" s="3" t="s">
        <v>389</v>
      </c>
      <c r="D6" s="3" t="s">
        <v>390</v>
      </c>
      <c r="E6" s="3" t="s">
        <v>391</v>
      </c>
      <c r="F6" s="3" t="s">
        <v>392</v>
      </c>
      <c r="G6" s="3" t="s">
        <v>393</v>
      </c>
      <c r="H6" s="3" t="s">
        <v>394</v>
      </c>
      <c r="I6" s="3" t="s">
        <v>369</v>
      </c>
    </row>
    <row r="7" customFormat="false" ht="68.65" hidden="false" customHeight="false" outlineLevel="0" collapsed="false">
      <c r="A7" s="3" t="s">
        <v>395</v>
      </c>
      <c r="B7" s="3" t="s">
        <v>345</v>
      </c>
      <c r="C7" s="3" t="s">
        <v>396</v>
      </c>
      <c r="D7" s="3" t="s">
        <v>397</v>
      </c>
      <c r="E7" s="3" t="s">
        <v>38</v>
      </c>
      <c r="F7" s="3" t="s">
        <v>398</v>
      </c>
      <c r="G7" s="3" t="s">
        <v>399</v>
      </c>
      <c r="H7" s="3" t="s">
        <v>400</v>
      </c>
      <c r="I7" s="3" t="s">
        <v>369</v>
      </c>
    </row>
    <row r="8" customFormat="false" ht="55.2" hidden="false" customHeight="false" outlineLevel="0" collapsed="false">
      <c r="A8" s="3" t="s">
        <v>401</v>
      </c>
      <c r="B8" s="3" t="s">
        <v>19</v>
      </c>
      <c r="C8" s="3" t="s">
        <v>402</v>
      </c>
      <c r="D8" s="3" t="s">
        <v>403</v>
      </c>
      <c r="E8" s="3" t="s">
        <v>404</v>
      </c>
      <c r="F8" s="3" t="s">
        <v>405</v>
      </c>
      <c r="G8" s="3" t="s">
        <v>406</v>
      </c>
      <c r="H8" s="3" t="s">
        <v>407</v>
      </c>
      <c r="I8" s="3" t="s">
        <v>369</v>
      </c>
    </row>
    <row r="9" customFormat="false" ht="68.65" hidden="false" customHeight="false" outlineLevel="0" collapsed="false">
      <c r="A9" s="3" t="s">
        <v>408</v>
      </c>
      <c r="B9" s="3" t="s">
        <v>19</v>
      </c>
      <c r="C9" s="3" t="s">
        <v>409</v>
      </c>
      <c r="D9" s="3" t="s">
        <v>410</v>
      </c>
      <c r="E9" s="3" t="s">
        <v>411</v>
      </c>
      <c r="F9" s="3" t="s">
        <v>412</v>
      </c>
      <c r="G9" s="3" t="s">
        <v>413</v>
      </c>
      <c r="H9" s="3" t="s">
        <v>414</v>
      </c>
      <c r="I9" s="3" t="s">
        <v>369</v>
      </c>
    </row>
    <row r="10" customFormat="false" ht="68.65" hidden="false" customHeight="false" outlineLevel="0" collapsed="false">
      <c r="A10" s="3" t="s">
        <v>415</v>
      </c>
      <c r="B10" s="3" t="s">
        <v>19</v>
      </c>
      <c r="C10" s="3" t="s">
        <v>416</v>
      </c>
      <c r="D10" s="3" t="s">
        <v>417</v>
      </c>
      <c r="E10" s="3" t="s">
        <v>418</v>
      </c>
      <c r="F10" s="3" t="s">
        <v>419</v>
      </c>
      <c r="G10" s="3" t="s">
        <v>420</v>
      </c>
      <c r="H10" s="3" t="s">
        <v>421</v>
      </c>
      <c r="I10" s="3" t="s">
        <v>369</v>
      </c>
    </row>
    <row r="11" customFormat="false" ht="55.2" hidden="false" customHeight="false" outlineLevel="0" collapsed="false">
      <c r="A11" s="3" t="s">
        <v>422</v>
      </c>
      <c r="B11" s="3" t="s">
        <v>19</v>
      </c>
      <c r="C11" s="3" t="s">
        <v>423</v>
      </c>
      <c r="D11" s="3" t="s">
        <v>424</v>
      </c>
      <c r="E11" s="3" t="s">
        <v>72</v>
      </c>
      <c r="F11" s="3" t="s">
        <v>425</v>
      </c>
      <c r="G11" s="3" t="s">
        <v>426</v>
      </c>
      <c r="H11" s="3" t="s">
        <v>427</v>
      </c>
      <c r="I11" s="3" t="s">
        <v>369</v>
      </c>
    </row>
    <row r="12" customFormat="false" ht="55.2" hidden="false" customHeight="false" outlineLevel="0" collapsed="false">
      <c r="A12" s="3" t="s">
        <v>428</v>
      </c>
      <c r="B12" s="3" t="s">
        <v>19</v>
      </c>
      <c r="C12" s="3" t="s">
        <v>429</v>
      </c>
      <c r="D12" s="3" t="s">
        <v>430</v>
      </c>
      <c r="E12" s="3" t="s">
        <v>104</v>
      </c>
      <c r="F12" s="3" t="s">
        <v>431</v>
      </c>
      <c r="G12" s="3" t="s">
        <v>432</v>
      </c>
      <c r="H12" s="3" t="s">
        <v>433</v>
      </c>
      <c r="I12" s="3" t="s">
        <v>369</v>
      </c>
    </row>
    <row r="13" customFormat="false" ht="41.75" hidden="false" customHeight="false" outlineLevel="0" collapsed="false">
      <c r="A13" s="3" t="s">
        <v>434</v>
      </c>
      <c r="B13" s="3" t="s">
        <v>19</v>
      </c>
      <c r="C13" s="3" t="s">
        <v>435</v>
      </c>
      <c r="D13" s="3" t="s">
        <v>436</v>
      </c>
      <c r="E13" s="3" t="s">
        <v>151</v>
      </c>
      <c r="F13" s="3" t="s">
        <v>437</v>
      </c>
      <c r="G13" s="3" t="s">
        <v>438</v>
      </c>
      <c r="H13" s="3" t="s">
        <v>439</v>
      </c>
      <c r="I13" s="3" t="s">
        <v>369</v>
      </c>
    </row>
    <row r="14" customFormat="false" ht="41.75" hidden="false" customHeight="false" outlineLevel="0" collapsed="false">
      <c r="A14" s="3" t="s">
        <v>440</v>
      </c>
      <c r="B14" s="3" t="s">
        <v>19</v>
      </c>
      <c r="C14" s="3" t="s">
        <v>441</v>
      </c>
      <c r="D14" s="3" t="s">
        <v>442</v>
      </c>
      <c r="E14" s="3" t="s">
        <v>255</v>
      </c>
      <c r="F14" s="3" t="s">
        <v>443</v>
      </c>
      <c r="G14" s="3" t="s">
        <v>444</v>
      </c>
      <c r="H14" s="3" t="s">
        <v>445</v>
      </c>
      <c r="I14" s="3" t="s">
        <v>369</v>
      </c>
    </row>
    <row r="15" customFormat="false" ht="41.75" hidden="false" customHeight="false" outlineLevel="0" collapsed="false">
      <c r="A15" s="3" t="s">
        <v>446</v>
      </c>
      <c r="B15" s="3" t="s">
        <v>19</v>
      </c>
      <c r="C15" s="3" t="s">
        <v>447</v>
      </c>
      <c r="D15" s="3" t="s">
        <v>448</v>
      </c>
      <c r="E15" s="3" t="s">
        <v>38</v>
      </c>
      <c r="F15" s="3" t="s">
        <v>449</v>
      </c>
      <c r="G15" s="3" t="s">
        <v>450</v>
      </c>
      <c r="H15" s="3" t="s">
        <v>451</v>
      </c>
      <c r="I15" s="3" t="s">
        <v>369</v>
      </c>
    </row>
    <row r="16" customFormat="false" ht="41.75" hidden="false" customHeight="false" outlineLevel="0" collapsed="false">
      <c r="A16" s="3" t="s">
        <v>452</v>
      </c>
      <c r="B16" s="3" t="s">
        <v>19</v>
      </c>
      <c r="C16" s="3" t="s">
        <v>453</v>
      </c>
      <c r="D16" s="3" t="s">
        <v>454</v>
      </c>
      <c r="E16" s="3" t="s">
        <v>267</v>
      </c>
      <c r="F16" s="3" t="s">
        <v>455</v>
      </c>
      <c r="G16" s="3" t="s">
        <v>456</v>
      </c>
      <c r="H16" s="3" t="s">
        <v>457</v>
      </c>
      <c r="I16" s="3" t="s">
        <v>369</v>
      </c>
    </row>
    <row r="17" customFormat="false" ht="55.2" hidden="false" customHeight="false" outlineLevel="0" collapsed="false">
      <c r="A17" s="3" t="s">
        <v>458</v>
      </c>
      <c r="B17" s="3" t="s">
        <v>19</v>
      </c>
      <c r="C17" s="3" t="s">
        <v>459</v>
      </c>
      <c r="D17" s="3" t="s">
        <v>460</v>
      </c>
      <c r="E17" s="3" t="s">
        <v>272</v>
      </c>
      <c r="F17" s="3" t="s">
        <v>461</v>
      </c>
      <c r="G17" s="3" t="s">
        <v>462</v>
      </c>
      <c r="H17" s="3" t="s">
        <v>463</v>
      </c>
      <c r="I17" s="3" t="s">
        <v>369</v>
      </c>
    </row>
    <row r="18" customFormat="false" ht="55.2" hidden="false" customHeight="false" outlineLevel="0" collapsed="false">
      <c r="A18" s="3" t="s">
        <v>464</v>
      </c>
      <c r="B18" s="3" t="s">
        <v>19</v>
      </c>
      <c r="C18" s="3" t="s">
        <v>465</v>
      </c>
      <c r="D18" s="3" t="s">
        <v>466</v>
      </c>
      <c r="E18" s="3" t="s">
        <v>467</v>
      </c>
      <c r="F18" s="3" t="s">
        <v>468</v>
      </c>
      <c r="G18" s="3" t="s">
        <v>469</v>
      </c>
      <c r="H18" s="3" t="s">
        <v>470</v>
      </c>
      <c r="I18" s="3" t="s">
        <v>369</v>
      </c>
    </row>
    <row r="19" customFormat="false" ht="55.2" hidden="false" customHeight="false" outlineLevel="0" collapsed="false">
      <c r="A19" s="3" t="s">
        <v>471</v>
      </c>
      <c r="B19" s="3" t="s">
        <v>19</v>
      </c>
      <c r="C19" s="3" t="s">
        <v>472</v>
      </c>
      <c r="D19" s="3" t="s">
        <v>473</v>
      </c>
      <c r="E19" s="3" t="s">
        <v>38</v>
      </c>
      <c r="F19" s="3" t="s">
        <v>474</v>
      </c>
      <c r="G19" s="3" t="s">
        <v>475</v>
      </c>
      <c r="H19" s="3" t="s">
        <v>476</v>
      </c>
      <c r="I19" s="3" t="s">
        <v>369</v>
      </c>
    </row>
    <row r="20" customFormat="false" ht="68.65" hidden="false" customHeight="false" outlineLevel="0" collapsed="false">
      <c r="A20" s="3" t="s">
        <v>477</v>
      </c>
      <c r="B20" s="3" t="s">
        <v>19</v>
      </c>
      <c r="C20" s="3" t="s">
        <v>478</v>
      </c>
      <c r="D20" s="3" t="s">
        <v>479</v>
      </c>
      <c r="E20" s="3" t="s">
        <v>38</v>
      </c>
      <c r="F20" s="3" t="s">
        <v>480</v>
      </c>
      <c r="G20" s="3" t="s">
        <v>481</v>
      </c>
      <c r="H20" s="3" t="s">
        <v>482</v>
      </c>
      <c r="I20" s="3" t="s">
        <v>369</v>
      </c>
    </row>
    <row r="21" customFormat="false" ht="41.75" hidden="false" customHeight="false" outlineLevel="0" collapsed="false">
      <c r="A21" s="3" t="s">
        <v>483</v>
      </c>
      <c r="B21" s="3" t="s">
        <v>19</v>
      </c>
      <c r="C21" s="3" t="s">
        <v>484</v>
      </c>
      <c r="D21" s="3" t="s">
        <v>485</v>
      </c>
      <c r="E21" s="3" t="s">
        <v>38</v>
      </c>
      <c r="F21" s="3" t="s">
        <v>486</v>
      </c>
      <c r="G21" s="3" t="s">
        <v>487</v>
      </c>
      <c r="H21" s="3" t="s">
        <v>488</v>
      </c>
      <c r="I21" s="3" t="s">
        <v>369</v>
      </c>
    </row>
    <row r="22" customFormat="false" ht="68.65" hidden="false" customHeight="false" outlineLevel="0" collapsed="false">
      <c r="A22" s="3" t="s">
        <v>489</v>
      </c>
      <c r="B22" s="3" t="s">
        <v>42</v>
      </c>
      <c r="C22" s="3" t="s">
        <v>490</v>
      </c>
      <c r="D22" s="3" t="s">
        <v>491</v>
      </c>
      <c r="E22" s="3" t="s">
        <v>492</v>
      </c>
      <c r="F22" s="3" t="s">
        <v>493</v>
      </c>
      <c r="G22" s="3" t="s">
        <v>494</v>
      </c>
      <c r="H22" s="3" t="s">
        <v>495</v>
      </c>
      <c r="I22" s="3" t="s">
        <v>369</v>
      </c>
    </row>
    <row r="23" customFormat="false" ht="28.35" hidden="false" customHeight="false" outlineLevel="0" collapsed="false">
      <c r="A23" s="3" t="s">
        <v>496</v>
      </c>
      <c r="B23" s="3" t="s">
        <v>42</v>
      </c>
      <c r="C23" s="3" t="s">
        <v>497</v>
      </c>
      <c r="D23" s="3" t="s">
        <v>498</v>
      </c>
      <c r="E23" s="3" t="s">
        <v>145</v>
      </c>
      <c r="F23" s="3" t="s">
        <v>499</v>
      </c>
      <c r="G23" s="3" t="s">
        <v>500</v>
      </c>
      <c r="H23" s="3" t="s">
        <v>501</v>
      </c>
      <c r="I23" s="3" t="s">
        <v>369</v>
      </c>
    </row>
    <row r="24" customFormat="false" ht="28.35" hidden="false" customHeight="false" outlineLevel="0" collapsed="false">
      <c r="A24" s="3" t="s">
        <v>502</v>
      </c>
      <c r="B24" s="3" t="s">
        <v>42</v>
      </c>
      <c r="C24" s="3" t="s">
        <v>503</v>
      </c>
      <c r="D24" s="3" t="s">
        <v>504</v>
      </c>
      <c r="E24" s="3" t="s">
        <v>209</v>
      </c>
      <c r="F24" s="3" t="s">
        <v>505</v>
      </c>
      <c r="G24" s="3" t="s">
        <v>506</v>
      </c>
      <c r="H24" s="3" t="s">
        <v>507</v>
      </c>
      <c r="I24" s="3" t="s">
        <v>369</v>
      </c>
    </row>
    <row r="25" customFormat="false" ht="28.35" hidden="false" customHeight="false" outlineLevel="0" collapsed="false">
      <c r="A25" s="3" t="s">
        <v>508</v>
      </c>
      <c r="B25" s="3" t="s">
        <v>42</v>
      </c>
      <c r="C25" s="3" t="s">
        <v>509</v>
      </c>
      <c r="D25" s="3" t="s">
        <v>510</v>
      </c>
      <c r="E25" s="3" t="s">
        <v>298</v>
      </c>
      <c r="F25" s="3" t="s">
        <v>511</v>
      </c>
      <c r="G25" s="3" t="s">
        <v>512</v>
      </c>
      <c r="H25" s="3" t="s">
        <v>513</v>
      </c>
      <c r="I25" s="3" t="s">
        <v>369</v>
      </c>
    </row>
    <row r="26" customFormat="false" ht="41.75" hidden="false" customHeight="false" outlineLevel="0" collapsed="false">
      <c r="A26" s="3" t="s">
        <v>514</v>
      </c>
      <c r="B26" s="3" t="s">
        <v>42</v>
      </c>
      <c r="C26" s="3" t="s">
        <v>515</v>
      </c>
      <c r="D26" s="3" t="s">
        <v>516</v>
      </c>
      <c r="E26" s="3" t="s">
        <v>222</v>
      </c>
      <c r="F26" s="3" t="s">
        <v>517</v>
      </c>
      <c r="G26" s="3" t="s">
        <v>518</v>
      </c>
      <c r="H26" s="3" t="s">
        <v>519</v>
      </c>
      <c r="I26" s="3" t="s">
        <v>369</v>
      </c>
    </row>
    <row r="27" customFormat="false" ht="55.2" hidden="false" customHeight="false" outlineLevel="0" collapsed="false">
      <c r="A27" s="3" t="s">
        <v>520</v>
      </c>
      <c r="B27" s="3" t="s">
        <v>42</v>
      </c>
      <c r="C27" s="3" t="s">
        <v>521</v>
      </c>
      <c r="D27" s="3" t="s">
        <v>522</v>
      </c>
      <c r="E27" s="3" t="s">
        <v>38</v>
      </c>
      <c r="F27" s="3" t="s">
        <v>523</v>
      </c>
      <c r="G27" s="3" t="s">
        <v>524</v>
      </c>
      <c r="H27" s="3" t="s">
        <v>525</v>
      </c>
      <c r="I27" s="3" t="s">
        <v>369</v>
      </c>
    </row>
    <row r="28" customFormat="false" ht="28.35" hidden="false" customHeight="false" outlineLevel="0" collapsed="false">
      <c r="A28" s="3" t="s">
        <v>526</v>
      </c>
      <c r="B28" s="3" t="s">
        <v>42</v>
      </c>
      <c r="C28" s="3" t="s">
        <v>527</v>
      </c>
      <c r="D28" s="3" t="s">
        <v>528</v>
      </c>
      <c r="E28" s="3" t="s">
        <v>38</v>
      </c>
      <c r="F28" s="3" t="s">
        <v>529</v>
      </c>
      <c r="G28" s="3" t="s">
        <v>530</v>
      </c>
      <c r="H28" s="3" t="s">
        <v>531</v>
      </c>
      <c r="I28" s="3" t="s">
        <v>369</v>
      </c>
    </row>
    <row r="29" customFormat="false" ht="68.65" hidden="false" customHeight="false" outlineLevel="0" collapsed="false">
      <c r="A29" s="3" t="s">
        <v>532</v>
      </c>
      <c r="B29" s="3" t="s">
        <v>42</v>
      </c>
      <c r="C29" s="3" t="s">
        <v>533</v>
      </c>
      <c r="D29" s="3" t="s">
        <v>534</v>
      </c>
      <c r="E29" s="3" t="s">
        <v>36</v>
      </c>
      <c r="F29" s="3" t="s">
        <v>535</v>
      </c>
      <c r="G29" s="3" t="s">
        <v>536</v>
      </c>
      <c r="H29" s="3" t="s">
        <v>537</v>
      </c>
      <c r="I29" s="3" t="s">
        <v>369</v>
      </c>
    </row>
    <row r="30" customFormat="false" ht="68.65" hidden="false" customHeight="false" outlineLevel="0" collapsed="false">
      <c r="A30" s="3" t="s">
        <v>538</v>
      </c>
      <c r="B30" s="3" t="s">
        <v>42</v>
      </c>
      <c r="C30" s="3" t="s">
        <v>539</v>
      </c>
      <c r="D30" s="3" t="s">
        <v>540</v>
      </c>
      <c r="E30" s="3" t="s">
        <v>38</v>
      </c>
      <c r="F30" s="3" t="s">
        <v>541</v>
      </c>
      <c r="G30" s="3" t="s">
        <v>542</v>
      </c>
      <c r="H30" s="3" t="s">
        <v>543</v>
      </c>
      <c r="I30" s="3" t="s">
        <v>369</v>
      </c>
    </row>
    <row r="31" customFormat="false" ht="55.2" hidden="false" customHeight="false" outlineLevel="0" collapsed="false">
      <c r="A31" s="3" t="s">
        <v>544</v>
      </c>
      <c r="B31" s="3" t="s">
        <v>42</v>
      </c>
      <c r="C31" s="3" t="s">
        <v>545</v>
      </c>
      <c r="D31" s="3" t="s">
        <v>546</v>
      </c>
      <c r="E31" s="3" t="s">
        <v>38</v>
      </c>
      <c r="F31" s="3" t="s">
        <v>547</v>
      </c>
      <c r="G31" s="3" t="s">
        <v>548</v>
      </c>
      <c r="H31" s="3" t="s">
        <v>549</v>
      </c>
      <c r="I31" s="3" t="s">
        <v>369</v>
      </c>
    </row>
    <row r="32" customFormat="false" ht="41.75" hidden="false" customHeight="false" outlineLevel="0" collapsed="false">
      <c r="A32" s="3" t="s">
        <v>550</v>
      </c>
      <c r="B32" s="3" t="s">
        <v>42</v>
      </c>
      <c r="C32" s="3" t="s">
        <v>551</v>
      </c>
      <c r="D32" s="3" t="s">
        <v>552</v>
      </c>
      <c r="E32" s="3" t="s">
        <v>292</v>
      </c>
      <c r="F32" s="3" t="s">
        <v>553</v>
      </c>
      <c r="G32" s="3" t="s">
        <v>554</v>
      </c>
      <c r="H32" s="3" t="s">
        <v>555</v>
      </c>
      <c r="I32" s="3" t="s">
        <v>369</v>
      </c>
    </row>
    <row r="33" customFormat="false" ht="55.2" hidden="false" customHeight="false" outlineLevel="0" collapsed="false">
      <c r="A33" s="3" t="s">
        <v>556</v>
      </c>
      <c r="B33" s="3" t="s">
        <v>42</v>
      </c>
      <c r="C33" s="3" t="s">
        <v>557</v>
      </c>
      <c r="D33" s="3" t="s">
        <v>558</v>
      </c>
      <c r="E33" s="3" t="s">
        <v>38</v>
      </c>
      <c r="F33" s="3" t="s">
        <v>559</v>
      </c>
      <c r="G33" s="3" t="s">
        <v>560</v>
      </c>
      <c r="H33" s="3" t="s">
        <v>561</v>
      </c>
      <c r="I33" s="3" t="s">
        <v>369</v>
      </c>
    </row>
    <row r="34" customFormat="false" ht="68.65" hidden="false" customHeight="false" outlineLevel="0" collapsed="false">
      <c r="A34" s="3" t="s">
        <v>562</v>
      </c>
      <c r="B34" s="3" t="s">
        <v>346</v>
      </c>
      <c r="C34" s="3" t="s">
        <v>563</v>
      </c>
      <c r="D34" s="3" t="s">
        <v>564</v>
      </c>
      <c r="E34" s="3" t="s">
        <v>565</v>
      </c>
      <c r="F34" s="3" t="s">
        <v>566</v>
      </c>
      <c r="G34" s="3" t="s">
        <v>567</v>
      </c>
      <c r="H34" s="3" t="s">
        <v>568</v>
      </c>
      <c r="I34" s="3" t="s">
        <v>369</v>
      </c>
    </row>
    <row r="35" customFormat="false" ht="41.75" hidden="false" customHeight="false" outlineLevel="0" collapsed="false">
      <c r="A35" s="3" t="s">
        <v>569</v>
      </c>
      <c r="B35" s="3" t="s">
        <v>346</v>
      </c>
      <c r="C35" s="3" t="s">
        <v>570</v>
      </c>
      <c r="D35" s="3" t="s">
        <v>571</v>
      </c>
      <c r="E35" s="3" t="s">
        <v>38</v>
      </c>
      <c r="F35" s="3" t="s">
        <v>572</v>
      </c>
      <c r="G35" s="3" t="s">
        <v>573</v>
      </c>
      <c r="H35" s="3" t="s">
        <v>574</v>
      </c>
      <c r="I35" s="3" t="s">
        <v>369</v>
      </c>
    </row>
  </sheetData>
  <autoFilter ref="A1:I35"/>
  <conditionalFormatting sqref="B2:B135">
    <cfRule type="cellIs" priority="2" operator="equal" aboveAverage="0" equalAverage="0" bottom="0" percent="0" rank="0" text="" dxfId="13">
      <formula>"Nghiêm trọng"</formula>
    </cfRule>
    <cfRule type="cellIs" priority="3" operator="equal" aboveAverage="0" equalAverage="0" bottom="0" percent="0" rank="0" text="" dxfId="20">
      <formula>"Cao"</formula>
    </cfRule>
    <cfRule type="cellIs" priority="4" operator="equal" aboveAverage="0" equalAverage="0" bottom="0" percent="0" rank="0" text="" dxfId="21">
      <formula>"Trung bình"</formula>
    </cfRule>
    <cfRule type="cellIs" priority="5" operator="equal" aboveAverage="0" equalAverage="0" bottom="0" percent="0" rank="0" text="" dxfId="22">
      <formula>"Thấp"</formula>
    </cfRule>
  </conditionalFormatting>
  <dataValidations count="2">
    <dataValidation allowBlank="false" errorStyle="stop" operator="between" showDropDown="false" showErrorMessage="false" showInputMessage="false" sqref="B2:B135" type="list">
      <formula1>"Nghiêm trọng,Cao,Trung bình,Thấp"</formula1>
      <formula2>0</formula2>
    </dataValidation>
    <dataValidation allowBlank="false" errorStyle="stop" operator="between" showDropDown="false" showErrorMessage="false" showInputMessage="false" sqref="I2:I135" type="list">
      <formula1>"Mới,Đang sửa,Đã sửa,Đã đóng"</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14"/>
    <col collapsed="false" customWidth="true" hidden="false" outlineLevel="0" max="4" min="4" style="0" width="24"/>
    <col collapsed="false" customWidth="true" hidden="false" outlineLevel="0" max="6" min="5" style="0" width="11"/>
    <col collapsed="false" customWidth="true" hidden="false" outlineLevel="0" max="7" min="7" style="0" width="60"/>
    <col collapsed="false" customWidth="true" hidden="false" outlineLevel="0" max="8" min="8" style="0" width="70"/>
    <col collapsed="false" customWidth="true" hidden="false" outlineLevel="0" max="9" min="9" style="0" width="10"/>
  </cols>
  <sheetData>
    <row r="1" customFormat="false" ht="41.75" hidden="false" customHeight="false" outlineLevel="0" collapsed="false">
      <c r="A1" s="1" t="s">
        <v>575</v>
      </c>
      <c r="B1" s="1" t="s">
        <v>576</v>
      </c>
      <c r="C1" s="1" t="s">
        <v>359</v>
      </c>
      <c r="D1" s="1" t="s">
        <v>577</v>
      </c>
      <c r="E1" s="1" t="s">
        <v>578</v>
      </c>
      <c r="F1" s="1" t="s">
        <v>579</v>
      </c>
      <c r="G1" s="1" t="s">
        <v>580</v>
      </c>
      <c r="H1" s="1" t="s">
        <v>581</v>
      </c>
      <c r="I1" s="1" t="s">
        <v>357</v>
      </c>
    </row>
    <row r="2" customFormat="false" ht="15" hidden="false" customHeight="false" outlineLevel="0" collapsed="false">
      <c r="A2" s="3" t="n">
        <v>1</v>
      </c>
      <c r="B2" s="3" t="s">
        <v>582</v>
      </c>
      <c r="C2" s="3" t="s">
        <v>38</v>
      </c>
      <c r="D2" s="3" t="s">
        <v>583</v>
      </c>
      <c r="E2" s="3" t="s">
        <v>20</v>
      </c>
      <c r="F2" s="3" t="n">
        <v>40</v>
      </c>
      <c r="G2" s="3" t="s">
        <v>584</v>
      </c>
      <c r="H2" s="3"/>
      <c r="I2" s="3"/>
    </row>
    <row r="3" customFormat="false" ht="15" hidden="false" customHeight="false" outlineLevel="0" collapsed="false">
      <c r="A3" s="3" t="n">
        <v>2</v>
      </c>
      <c r="B3" s="3" t="s">
        <v>585</v>
      </c>
      <c r="C3" s="3" t="s">
        <v>38</v>
      </c>
      <c r="D3" s="3" t="s">
        <v>583</v>
      </c>
      <c r="E3" s="3" t="s">
        <v>20</v>
      </c>
      <c r="F3" s="3" t="n">
        <v>7</v>
      </c>
      <c r="G3" s="3" t="s">
        <v>586</v>
      </c>
      <c r="H3" s="3"/>
      <c r="I3" s="3"/>
    </row>
    <row r="4" customFormat="false" ht="15" hidden="false" customHeight="false" outlineLevel="0" collapsed="false">
      <c r="A4" s="3" t="n">
        <v>3</v>
      </c>
      <c r="B4" s="3" t="s">
        <v>587</v>
      </c>
      <c r="C4" s="3" t="s">
        <v>38</v>
      </c>
      <c r="D4" s="3" t="s">
        <v>583</v>
      </c>
      <c r="E4" s="3" t="s">
        <v>20</v>
      </c>
      <c r="F4" s="3" t="n">
        <v>13</v>
      </c>
      <c r="G4" s="3" t="s">
        <v>588</v>
      </c>
      <c r="H4" s="3"/>
      <c r="I4" s="3"/>
    </row>
    <row r="5" customFormat="false" ht="15" hidden="false" customHeight="false" outlineLevel="0" collapsed="false">
      <c r="A5" s="3" t="n">
        <v>4</v>
      </c>
      <c r="B5" s="3" t="s">
        <v>589</v>
      </c>
      <c r="C5" s="3" t="s">
        <v>38</v>
      </c>
      <c r="D5" s="3" t="s">
        <v>583</v>
      </c>
      <c r="E5" s="3" t="s">
        <v>20</v>
      </c>
      <c r="F5" s="3" t="n">
        <v>6</v>
      </c>
      <c r="G5" s="3" t="s">
        <v>590</v>
      </c>
      <c r="H5" s="3"/>
      <c r="I5" s="3"/>
    </row>
    <row r="6" customFormat="false" ht="15" hidden="false" customHeight="false" outlineLevel="0" collapsed="false">
      <c r="A6" s="3" t="n">
        <v>5</v>
      </c>
      <c r="B6" s="3" t="s">
        <v>11</v>
      </c>
      <c r="C6" s="3" t="s">
        <v>11</v>
      </c>
      <c r="D6" s="3" t="s">
        <v>591</v>
      </c>
      <c r="E6" s="3" t="s">
        <v>20</v>
      </c>
      <c r="F6" s="3" t="n">
        <v>35</v>
      </c>
      <c r="G6" s="3" t="s">
        <v>592</v>
      </c>
      <c r="H6" s="3"/>
      <c r="I6" s="3"/>
    </row>
    <row r="7" customFormat="false" ht="28.35" hidden="false" customHeight="false" outlineLevel="0" collapsed="false">
      <c r="A7" s="3" t="n">
        <v>6</v>
      </c>
      <c r="B7" s="3" t="s">
        <v>22</v>
      </c>
      <c r="C7" s="3" t="s">
        <v>22</v>
      </c>
      <c r="D7" s="3" t="s">
        <v>591</v>
      </c>
      <c r="E7" s="3" t="s">
        <v>20</v>
      </c>
      <c r="F7" s="3" t="n">
        <v>4</v>
      </c>
      <c r="G7" s="3" t="s">
        <v>593</v>
      </c>
      <c r="H7" s="3"/>
      <c r="I7" s="3"/>
    </row>
    <row r="8" customFormat="false" ht="15" hidden="false" customHeight="false" outlineLevel="0" collapsed="false">
      <c r="A8" s="3" t="n">
        <v>7</v>
      </c>
      <c r="B8" s="3" t="s">
        <v>29</v>
      </c>
      <c r="C8" s="3" t="s">
        <v>29</v>
      </c>
      <c r="D8" s="3" t="s">
        <v>591</v>
      </c>
      <c r="E8" s="3" t="s">
        <v>20</v>
      </c>
      <c r="F8" s="3" t="n">
        <v>6</v>
      </c>
      <c r="G8" s="3" t="s">
        <v>594</v>
      </c>
      <c r="H8" s="3"/>
      <c r="I8" s="3"/>
    </row>
    <row r="9" customFormat="false" ht="15" hidden="false" customHeight="false" outlineLevel="0" collapsed="false">
      <c r="A9" s="3" t="n">
        <v>8</v>
      </c>
      <c r="B9" s="3" t="s">
        <v>36</v>
      </c>
      <c r="C9" s="3" t="s">
        <v>36</v>
      </c>
      <c r="D9" s="3" t="s">
        <v>591</v>
      </c>
      <c r="E9" s="3" t="s">
        <v>20</v>
      </c>
      <c r="F9" s="3" t="n">
        <v>4</v>
      </c>
      <c r="G9" s="3" t="s">
        <v>595</v>
      </c>
      <c r="H9" s="3"/>
      <c r="I9" s="3"/>
    </row>
    <row r="10" customFormat="false" ht="28.35" hidden="false" customHeight="false" outlineLevel="0" collapsed="false">
      <c r="A10" s="3" t="n">
        <v>9</v>
      </c>
      <c r="B10" s="3" t="s">
        <v>44</v>
      </c>
      <c r="C10" s="3" t="s">
        <v>44</v>
      </c>
      <c r="D10" s="3" t="s">
        <v>591</v>
      </c>
      <c r="E10" s="3" t="s">
        <v>50</v>
      </c>
      <c r="F10" s="3" t="n">
        <v>2</v>
      </c>
      <c r="G10" s="3" t="s">
        <v>596</v>
      </c>
      <c r="H10" s="3" t="s">
        <v>597</v>
      </c>
      <c r="I10" s="3" t="s">
        <v>489</v>
      </c>
    </row>
    <row r="11" customFormat="false" ht="15" hidden="false" customHeight="false" outlineLevel="0" collapsed="false">
      <c r="A11" s="3" t="n">
        <v>10</v>
      </c>
      <c r="B11" s="3" t="s">
        <v>52</v>
      </c>
      <c r="C11" s="3" t="s">
        <v>52</v>
      </c>
      <c r="D11" s="3" t="s">
        <v>591</v>
      </c>
      <c r="E11" s="3" t="s">
        <v>50</v>
      </c>
      <c r="F11" s="3" t="n">
        <v>2</v>
      </c>
      <c r="G11" s="3" t="s">
        <v>598</v>
      </c>
      <c r="H11" s="3" t="s">
        <v>599</v>
      </c>
      <c r="I11" s="3" t="s">
        <v>489</v>
      </c>
    </row>
    <row r="12" customFormat="false" ht="55.2" hidden="false" customHeight="false" outlineLevel="0" collapsed="false">
      <c r="A12" s="3" t="n">
        <v>11</v>
      </c>
      <c r="B12" s="3" t="s">
        <v>58</v>
      </c>
      <c r="C12" s="3" t="s">
        <v>58</v>
      </c>
      <c r="D12" s="3" t="s">
        <v>591</v>
      </c>
      <c r="E12" s="3" t="s">
        <v>50</v>
      </c>
      <c r="F12" s="3" t="n">
        <v>9</v>
      </c>
      <c r="G12" s="3" t="s">
        <v>600</v>
      </c>
      <c r="H12" s="3" t="s">
        <v>601</v>
      </c>
      <c r="I12" s="3" t="s">
        <v>401</v>
      </c>
    </row>
    <row r="13" customFormat="false" ht="55.2" hidden="false" customHeight="false" outlineLevel="0" collapsed="false">
      <c r="A13" s="3" t="n">
        <v>12</v>
      </c>
      <c r="B13" s="3" t="s">
        <v>602</v>
      </c>
      <c r="C13" s="3" t="s">
        <v>38</v>
      </c>
      <c r="D13" s="3" t="s">
        <v>591</v>
      </c>
      <c r="E13" s="3" t="s">
        <v>50</v>
      </c>
      <c r="F13" s="3" t="n">
        <v>7</v>
      </c>
      <c r="G13" s="3" t="s">
        <v>603</v>
      </c>
      <c r="H13" s="3" t="s">
        <v>604</v>
      </c>
      <c r="I13" s="3" t="s">
        <v>382</v>
      </c>
    </row>
    <row r="14" customFormat="false" ht="55.2" hidden="false" customHeight="false" outlineLevel="0" collapsed="false">
      <c r="A14" s="3" t="n">
        <v>13</v>
      </c>
      <c r="B14" s="3" t="s">
        <v>605</v>
      </c>
      <c r="C14" s="3" t="s">
        <v>38</v>
      </c>
      <c r="D14" s="3" t="s">
        <v>591</v>
      </c>
      <c r="E14" s="3" t="s">
        <v>50</v>
      </c>
      <c r="F14" s="3" t="n">
        <v>3</v>
      </c>
      <c r="G14" s="3" t="s">
        <v>606</v>
      </c>
      <c r="H14" s="3" t="s">
        <v>607</v>
      </c>
      <c r="I14" s="3" t="s">
        <v>382</v>
      </c>
    </row>
    <row r="15" customFormat="false" ht="55.2" hidden="false" customHeight="false" outlineLevel="0" collapsed="false">
      <c r="A15" s="3" t="n">
        <v>14</v>
      </c>
      <c r="B15" s="3" t="s">
        <v>608</v>
      </c>
      <c r="C15" s="3" t="s">
        <v>38</v>
      </c>
      <c r="D15" s="3" t="s">
        <v>591</v>
      </c>
      <c r="E15" s="3" t="s">
        <v>50</v>
      </c>
      <c r="F15" s="3" t="n">
        <v>4</v>
      </c>
      <c r="G15" s="3" t="s">
        <v>609</v>
      </c>
      <c r="H15" s="3" t="s">
        <v>610</v>
      </c>
      <c r="I15" s="3" t="s">
        <v>382</v>
      </c>
    </row>
    <row r="16" customFormat="false" ht="15" hidden="false" customHeight="false" outlineLevel="0" collapsed="false">
      <c r="A16" s="3" t="n">
        <v>15</v>
      </c>
      <c r="B16" s="3" t="s">
        <v>611</v>
      </c>
      <c r="C16" s="3" t="s">
        <v>38</v>
      </c>
      <c r="D16" s="3" t="s">
        <v>591</v>
      </c>
      <c r="E16" s="3" t="s">
        <v>20</v>
      </c>
      <c r="F16" s="3" t="n">
        <v>3</v>
      </c>
      <c r="G16" s="3" t="s">
        <v>612</v>
      </c>
      <c r="H16" s="3"/>
      <c r="I16" s="3"/>
    </row>
    <row r="17" customFormat="false" ht="28.35" hidden="false" customHeight="false" outlineLevel="0" collapsed="false">
      <c r="A17" s="3" t="n">
        <v>16</v>
      </c>
      <c r="B17" s="3" t="s">
        <v>613</v>
      </c>
      <c r="C17" s="3" t="s">
        <v>38</v>
      </c>
      <c r="D17" s="3" t="s">
        <v>591</v>
      </c>
      <c r="E17" s="3" t="s">
        <v>50</v>
      </c>
      <c r="F17" s="3" t="n">
        <v>6</v>
      </c>
      <c r="G17" s="3" t="s">
        <v>614</v>
      </c>
      <c r="H17" s="3" t="s">
        <v>615</v>
      </c>
      <c r="I17" s="3" t="s">
        <v>382</v>
      </c>
    </row>
    <row r="18" customFormat="false" ht="28.35" hidden="false" customHeight="false" outlineLevel="0" collapsed="false">
      <c r="A18" s="3" t="n">
        <v>17</v>
      </c>
      <c r="B18" s="3" t="s">
        <v>616</v>
      </c>
      <c r="C18" s="3" t="s">
        <v>38</v>
      </c>
      <c r="D18" s="3" t="s">
        <v>591</v>
      </c>
      <c r="E18" s="3" t="s">
        <v>50</v>
      </c>
      <c r="F18" s="3" t="n">
        <v>3</v>
      </c>
      <c r="G18" s="3" t="s">
        <v>617</v>
      </c>
      <c r="H18" s="3" t="s">
        <v>618</v>
      </c>
      <c r="I18" s="3" t="s">
        <v>363</v>
      </c>
    </row>
    <row r="19" customFormat="false" ht="15" hidden="false" customHeight="false" outlineLevel="0" collapsed="false">
      <c r="A19" s="3" t="n">
        <v>18</v>
      </c>
      <c r="B19" s="3" t="s">
        <v>619</v>
      </c>
      <c r="C19" s="3" t="s">
        <v>38</v>
      </c>
      <c r="D19" s="3" t="s">
        <v>591</v>
      </c>
      <c r="E19" s="3" t="s">
        <v>20</v>
      </c>
      <c r="F19" s="3" t="n">
        <v>8</v>
      </c>
      <c r="G19" s="3" t="s">
        <v>620</v>
      </c>
      <c r="H19" s="3"/>
      <c r="I19" s="3"/>
    </row>
    <row r="20" customFormat="false" ht="15" hidden="false" customHeight="false" outlineLevel="0" collapsed="false">
      <c r="A20" s="3" t="n">
        <v>19</v>
      </c>
      <c r="B20" s="3" t="s">
        <v>621</v>
      </c>
      <c r="C20" s="3" t="s">
        <v>38</v>
      </c>
      <c r="D20" s="3" t="s">
        <v>591</v>
      </c>
      <c r="E20" s="3" t="s">
        <v>20</v>
      </c>
      <c r="F20" s="3" t="n">
        <v>3</v>
      </c>
      <c r="G20" s="3" t="s">
        <v>622</v>
      </c>
      <c r="H20" s="3"/>
      <c r="I20" s="3"/>
    </row>
    <row r="21" customFormat="false" ht="15" hidden="false" customHeight="false" outlineLevel="0" collapsed="false">
      <c r="A21" s="3" t="n">
        <v>20</v>
      </c>
      <c r="B21" s="3" t="s">
        <v>623</v>
      </c>
      <c r="C21" s="3" t="s">
        <v>38</v>
      </c>
      <c r="D21" s="3" t="s">
        <v>591</v>
      </c>
      <c r="E21" s="3" t="s">
        <v>20</v>
      </c>
      <c r="F21" s="3" t="n">
        <v>16</v>
      </c>
      <c r="G21" s="3" t="s">
        <v>624</v>
      </c>
      <c r="H21" s="3"/>
      <c r="I21" s="3"/>
    </row>
    <row r="22" customFormat="false" ht="15" hidden="false" customHeight="false" outlineLevel="0" collapsed="false">
      <c r="A22" s="3" t="n">
        <v>21</v>
      </c>
      <c r="B22" s="3" t="s">
        <v>625</v>
      </c>
      <c r="C22" s="3" t="s">
        <v>38</v>
      </c>
      <c r="D22" s="3" t="s">
        <v>591</v>
      </c>
      <c r="E22" s="3" t="s">
        <v>20</v>
      </c>
      <c r="F22" s="3" t="n">
        <v>4</v>
      </c>
      <c r="G22" s="3" t="s">
        <v>626</v>
      </c>
      <c r="H22" s="3"/>
      <c r="I22" s="3"/>
    </row>
    <row r="23" customFormat="false" ht="28.35" hidden="false" customHeight="false" outlineLevel="0" collapsed="false">
      <c r="A23" s="3" t="n">
        <v>22</v>
      </c>
      <c r="B23" s="3" t="s">
        <v>627</v>
      </c>
      <c r="C23" s="3" t="s">
        <v>38</v>
      </c>
      <c r="D23" s="3" t="s">
        <v>591</v>
      </c>
      <c r="E23" s="3" t="s">
        <v>50</v>
      </c>
      <c r="F23" s="3" t="n">
        <v>9</v>
      </c>
      <c r="G23" s="3" t="s">
        <v>628</v>
      </c>
      <c r="H23" s="3" t="s">
        <v>629</v>
      </c>
      <c r="I23" s="3" t="s">
        <v>532</v>
      </c>
    </row>
    <row r="24" customFormat="false" ht="41.75" hidden="false" customHeight="false" outlineLevel="0" collapsed="false">
      <c r="A24" s="3" t="n">
        <v>23</v>
      </c>
      <c r="B24" s="3" t="s">
        <v>630</v>
      </c>
      <c r="C24" s="3" t="s">
        <v>38</v>
      </c>
      <c r="D24" s="3" t="s">
        <v>591</v>
      </c>
      <c r="E24" s="3" t="s">
        <v>50</v>
      </c>
      <c r="F24" s="3" t="n">
        <v>9</v>
      </c>
      <c r="G24" s="3" t="s">
        <v>631</v>
      </c>
      <c r="H24" s="3" t="s">
        <v>632</v>
      </c>
      <c r="I24" s="3" t="s">
        <v>532</v>
      </c>
    </row>
    <row r="25" customFormat="false" ht="55.2" hidden="false" customHeight="false" outlineLevel="0" collapsed="false">
      <c r="A25" s="3" t="n">
        <v>24</v>
      </c>
      <c r="B25" s="3" t="s">
        <v>633</v>
      </c>
      <c r="C25" s="3" t="s">
        <v>38</v>
      </c>
      <c r="D25" s="3" t="s">
        <v>591</v>
      </c>
      <c r="E25" s="3" t="s">
        <v>50</v>
      </c>
      <c r="F25" s="3" t="n">
        <v>7</v>
      </c>
      <c r="G25" s="3" t="s">
        <v>634</v>
      </c>
      <c r="H25" s="3" t="s">
        <v>635</v>
      </c>
      <c r="I25" s="3" t="s">
        <v>532</v>
      </c>
    </row>
    <row r="26" customFormat="false" ht="28.35" hidden="false" customHeight="false" outlineLevel="0" collapsed="false">
      <c r="A26" s="3" t="n">
        <v>25</v>
      </c>
      <c r="B26" s="3" t="s">
        <v>636</v>
      </c>
      <c r="C26" s="3" t="s">
        <v>38</v>
      </c>
      <c r="D26" s="3" t="s">
        <v>591</v>
      </c>
      <c r="E26" s="3" t="s">
        <v>20</v>
      </c>
      <c r="F26" s="3" t="n">
        <v>5</v>
      </c>
      <c r="G26" s="3" t="s">
        <v>637</v>
      </c>
      <c r="H26" s="3"/>
      <c r="I26" s="3"/>
    </row>
    <row r="27" customFormat="false" ht="15" hidden="false" customHeight="false" outlineLevel="0" collapsed="false">
      <c r="A27" s="3" t="n">
        <v>26</v>
      </c>
      <c r="B27" s="3" t="s">
        <v>638</v>
      </c>
      <c r="C27" s="3" t="s">
        <v>38</v>
      </c>
      <c r="D27" s="3" t="s">
        <v>591</v>
      </c>
      <c r="E27" s="3" t="s">
        <v>20</v>
      </c>
      <c r="F27" s="3" t="n">
        <v>2</v>
      </c>
      <c r="G27" s="3" t="s">
        <v>639</v>
      </c>
      <c r="H27" s="3"/>
      <c r="I27" s="3"/>
    </row>
    <row r="28" customFormat="false" ht="41.75" hidden="false" customHeight="false" outlineLevel="0" collapsed="false">
      <c r="A28" s="3" t="n">
        <v>27</v>
      </c>
      <c r="B28" s="3" t="s">
        <v>640</v>
      </c>
      <c r="C28" s="3" t="s">
        <v>38</v>
      </c>
      <c r="D28" s="3" t="s">
        <v>591</v>
      </c>
      <c r="E28" s="3" t="s">
        <v>50</v>
      </c>
      <c r="F28" s="3" t="n">
        <v>8</v>
      </c>
      <c r="G28" s="3" t="s">
        <v>641</v>
      </c>
      <c r="H28" s="3" t="s">
        <v>642</v>
      </c>
      <c r="I28" s="3" t="s">
        <v>562</v>
      </c>
    </row>
    <row r="29" customFormat="false" ht="41.75" hidden="false" customHeight="false" outlineLevel="0" collapsed="false">
      <c r="A29" s="3" t="n">
        <v>28</v>
      </c>
      <c r="B29" s="3" t="s">
        <v>643</v>
      </c>
      <c r="C29" s="3" t="s">
        <v>38</v>
      </c>
      <c r="D29" s="3" t="s">
        <v>591</v>
      </c>
      <c r="E29" s="3" t="s">
        <v>50</v>
      </c>
      <c r="F29" s="3" t="n">
        <v>3</v>
      </c>
      <c r="G29" s="3" t="s">
        <v>644</v>
      </c>
      <c r="H29" s="3" t="s">
        <v>645</v>
      </c>
      <c r="I29" s="3" t="s">
        <v>401</v>
      </c>
    </row>
    <row r="30" customFormat="false" ht="176.1" hidden="false" customHeight="false" outlineLevel="0" collapsed="false">
      <c r="A30" s="3" t="n">
        <v>29</v>
      </c>
      <c r="B30" s="3" t="s">
        <v>646</v>
      </c>
      <c r="C30" s="3" t="s">
        <v>38</v>
      </c>
      <c r="D30" s="3" t="s">
        <v>591</v>
      </c>
      <c r="E30" s="3" t="s">
        <v>50</v>
      </c>
      <c r="F30" s="3" t="n">
        <v>21</v>
      </c>
      <c r="G30" s="3" t="s">
        <v>647</v>
      </c>
      <c r="H30" s="3" t="s">
        <v>648</v>
      </c>
      <c r="I30" s="3" t="s">
        <v>544</v>
      </c>
    </row>
    <row r="31" customFormat="false" ht="28.35" hidden="false" customHeight="false" outlineLevel="0" collapsed="false">
      <c r="A31" s="3" t="n">
        <v>30</v>
      </c>
      <c r="B31" s="3" t="s">
        <v>649</v>
      </c>
      <c r="C31" s="3" t="s">
        <v>38</v>
      </c>
      <c r="D31" s="3" t="s">
        <v>591</v>
      </c>
      <c r="E31" s="3" t="s">
        <v>50</v>
      </c>
      <c r="F31" s="3" t="n">
        <v>6</v>
      </c>
      <c r="G31" s="3" t="s">
        <v>650</v>
      </c>
      <c r="H31" s="3" t="s">
        <v>651</v>
      </c>
      <c r="I31" s="3" t="s">
        <v>544</v>
      </c>
    </row>
    <row r="32" customFormat="false" ht="28.35" hidden="false" customHeight="false" outlineLevel="0" collapsed="false">
      <c r="A32" s="3" t="n">
        <v>31</v>
      </c>
      <c r="B32" s="3" t="s">
        <v>65</v>
      </c>
      <c r="C32" s="3" t="s">
        <v>65</v>
      </c>
      <c r="D32" s="3" t="s">
        <v>652</v>
      </c>
      <c r="E32" s="3" t="s">
        <v>20</v>
      </c>
      <c r="F32" s="3" t="n">
        <v>36</v>
      </c>
      <c r="G32" s="3" t="s">
        <v>653</v>
      </c>
      <c r="H32" s="3"/>
      <c r="I32" s="3"/>
    </row>
    <row r="33" customFormat="false" ht="28.35" hidden="false" customHeight="false" outlineLevel="0" collapsed="false">
      <c r="A33" s="3" t="n">
        <v>32</v>
      </c>
      <c r="B33" s="3" t="s">
        <v>72</v>
      </c>
      <c r="C33" s="3" t="s">
        <v>72</v>
      </c>
      <c r="D33" s="3" t="s">
        <v>652</v>
      </c>
      <c r="E33" s="3" t="s">
        <v>50</v>
      </c>
      <c r="F33" s="3" t="n">
        <v>5</v>
      </c>
      <c r="G33" s="3" t="s">
        <v>654</v>
      </c>
      <c r="H33" s="3" t="s">
        <v>655</v>
      </c>
      <c r="I33" s="3" t="s">
        <v>422</v>
      </c>
    </row>
    <row r="34" customFormat="false" ht="15" hidden="false" customHeight="false" outlineLevel="0" collapsed="false">
      <c r="A34" s="3" t="n">
        <v>33</v>
      </c>
      <c r="B34" s="3" t="s">
        <v>72</v>
      </c>
      <c r="C34" s="3" t="s">
        <v>72</v>
      </c>
      <c r="D34" s="3" t="s">
        <v>652</v>
      </c>
      <c r="E34" s="3" t="s">
        <v>20</v>
      </c>
      <c r="F34" s="3" t="n">
        <v>5</v>
      </c>
      <c r="G34" s="3" t="s">
        <v>656</v>
      </c>
      <c r="H34" s="3"/>
      <c r="I34" s="3"/>
    </row>
    <row r="35" customFormat="false" ht="68.65" hidden="false" customHeight="false" outlineLevel="0" collapsed="false">
      <c r="A35" s="3" t="n">
        <v>34</v>
      </c>
      <c r="B35" s="3" t="s">
        <v>657</v>
      </c>
      <c r="C35" s="3" t="s">
        <v>38</v>
      </c>
      <c r="D35" s="3" t="s">
        <v>652</v>
      </c>
      <c r="E35" s="3" t="s">
        <v>50</v>
      </c>
      <c r="F35" s="3" t="n">
        <v>16</v>
      </c>
      <c r="G35" s="3" t="s">
        <v>658</v>
      </c>
      <c r="H35" s="3" t="s">
        <v>659</v>
      </c>
      <c r="I35" s="3" t="s">
        <v>422</v>
      </c>
    </row>
    <row r="36" customFormat="false" ht="28.35" hidden="false" customHeight="false" outlineLevel="0" collapsed="false">
      <c r="A36" s="3" t="n">
        <v>35</v>
      </c>
      <c r="B36" s="3" t="s">
        <v>660</v>
      </c>
      <c r="C36" s="3" t="s">
        <v>38</v>
      </c>
      <c r="D36" s="3" t="s">
        <v>652</v>
      </c>
      <c r="E36" s="3" t="s">
        <v>20</v>
      </c>
      <c r="F36" s="3" t="n">
        <v>4</v>
      </c>
      <c r="G36" s="3" t="s">
        <v>661</v>
      </c>
      <c r="H36" s="3"/>
      <c r="I36" s="3"/>
    </row>
    <row r="37" customFormat="false" ht="15" hidden="false" customHeight="false" outlineLevel="0" collapsed="false">
      <c r="A37" s="3" t="n">
        <v>36</v>
      </c>
      <c r="B37" s="3" t="s">
        <v>79</v>
      </c>
      <c r="C37" s="3" t="s">
        <v>79</v>
      </c>
      <c r="D37" s="3" t="s">
        <v>652</v>
      </c>
      <c r="E37" s="3" t="s">
        <v>20</v>
      </c>
      <c r="F37" s="3" t="n">
        <v>3</v>
      </c>
      <c r="G37" s="3" t="s">
        <v>662</v>
      </c>
      <c r="H37" s="3"/>
      <c r="I37" s="3"/>
    </row>
    <row r="38" customFormat="false" ht="15" hidden="false" customHeight="false" outlineLevel="0" collapsed="false">
      <c r="A38" s="3" t="n">
        <v>37</v>
      </c>
      <c r="B38" s="3" t="s">
        <v>85</v>
      </c>
      <c r="C38" s="3" t="s">
        <v>85</v>
      </c>
      <c r="D38" s="3" t="s">
        <v>652</v>
      </c>
      <c r="E38" s="3" t="s">
        <v>20</v>
      </c>
      <c r="F38" s="3" t="n">
        <v>5</v>
      </c>
      <c r="G38" s="3" t="s">
        <v>663</v>
      </c>
      <c r="H38" s="3"/>
      <c r="I38" s="3"/>
    </row>
    <row r="39" customFormat="false" ht="28.35" hidden="false" customHeight="false" outlineLevel="0" collapsed="false">
      <c r="A39" s="3" t="n">
        <v>38</v>
      </c>
      <c r="B39" s="3" t="s">
        <v>85</v>
      </c>
      <c r="C39" s="3" t="s">
        <v>85</v>
      </c>
      <c r="D39" s="3" t="s">
        <v>652</v>
      </c>
      <c r="E39" s="3" t="s">
        <v>20</v>
      </c>
      <c r="F39" s="3" t="n">
        <v>3</v>
      </c>
      <c r="G39" s="3" t="s">
        <v>664</v>
      </c>
      <c r="H39" s="3"/>
      <c r="I39" s="3"/>
    </row>
    <row r="40" customFormat="false" ht="15" hidden="false" customHeight="false" outlineLevel="0" collapsed="false">
      <c r="A40" s="3" t="n">
        <v>39</v>
      </c>
      <c r="B40" s="3" t="s">
        <v>91</v>
      </c>
      <c r="C40" s="3" t="s">
        <v>91</v>
      </c>
      <c r="D40" s="3" t="s">
        <v>665</v>
      </c>
      <c r="E40" s="3" t="s">
        <v>20</v>
      </c>
      <c r="F40" s="3" t="n">
        <v>40</v>
      </c>
      <c r="G40" s="3" t="s">
        <v>666</v>
      </c>
      <c r="H40" s="3"/>
      <c r="I40" s="3"/>
    </row>
    <row r="41" customFormat="false" ht="55.2" hidden="false" customHeight="false" outlineLevel="0" collapsed="false">
      <c r="A41" s="3" t="n">
        <v>40</v>
      </c>
      <c r="B41" s="3" t="s">
        <v>98</v>
      </c>
      <c r="C41" s="3" t="s">
        <v>98</v>
      </c>
      <c r="D41" s="3" t="s">
        <v>665</v>
      </c>
      <c r="E41" s="3" t="s">
        <v>50</v>
      </c>
      <c r="F41" s="3" t="n">
        <v>8</v>
      </c>
      <c r="G41" s="3" t="s">
        <v>667</v>
      </c>
      <c r="H41" s="3" t="s">
        <v>668</v>
      </c>
      <c r="I41" s="3" t="s">
        <v>388</v>
      </c>
    </row>
    <row r="42" customFormat="false" ht="28.35" hidden="false" customHeight="false" outlineLevel="0" collapsed="false">
      <c r="A42" s="3" t="n">
        <v>41</v>
      </c>
      <c r="B42" s="3" t="s">
        <v>104</v>
      </c>
      <c r="C42" s="3" t="s">
        <v>104</v>
      </c>
      <c r="D42" s="3" t="s">
        <v>665</v>
      </c>
      <c r="E42" s="3" t="s">
        <v>50</v>
      </c>
      <c r="F42" s="3" t="n">
        <v>3</v>
      </c>
      <c r="G42" s="3" t="s">
        <v>669</v>
      </c>
      <c r="H42" s="3" t="s">
        <v>670</v>
      </c>
      <c r="I42" s="3" t="s">
        <v>428</v>
      </c>
    </row>
    <row r="43" customFormat="false" ht="15" hidden="false" customHeight="false" outlineLevel="0" collapsed="false">
      <c r="A43" s="3" t="n">
        <v>42</v>
      </c>
      <c r="B43" s="3" t="s">
        <v>109</v>
      </c>
      <c r="C43" s="3" t="s">
        <v>109</v>
      </c>
      <c r="D43" s="3" t="s">
        <v>665</v>
      </c>
      <c r="E43" s="3" t="s">
        <v>20</v>
      </c>
      <c r="F43" s="3" t="n">
        <v>6</v>
      </c>
      <c r="G43" s="3" t="s">
        <v>671</v>
      </c>
      <c r="H43" s="3"/>
      <c r="I43" s="3"/>
    </row>
    <row r="44" customFormat="false" ht="41.75" hidden="false" customHeight="false" outlineLevel="0" collapsed="false">
      <c r="A44" s="3" t="n">
        <v>43</v>
      </c>
      <c r="B44" s="3" t="s">
        <v>109</v>
      </c>
      <c r="C44" s="3" t="s">
        <v>109</v>
      </c>
      <c r="D44" s="3" t="s">
        <v>665</v>
      </c>
      <c r="E44" s="3" t="s">
        <v>50</v>
      </c>
      <c r="F44" s="3" t="n">
        <v>3</v>
      </c>
      <c r="G44" s="3" t="s">
        <v>672</v>
      </c>
      <c r="H44" s="3" t="s">
        <v>673</v>
      </c>
      <c r="I44" s="3" t="s">
        <v>562</v>
      </c>
    </row>
    <row r="45" customFormat="false" ht="28.35" hidden="false" customHeight="false" outlineLevel="0" collapsed="false">
      <c r="A45" s="3" t="n">
        <v>44</v>
      </c>
      <c r="B45" s="3" t="s">
        <v>115</v>
      </c>
      <c r="C45" s="3" t="s">
        <v>115</v>
      </c>
      <c r="D45" s="3" t="s">
        <v>665</v>
      </c>
      <c r="E45" s="3" t="s">
        <v>20</v>
      </c>
      <c r="F45" s="3" t="n">
        <v>7</v>
      </c>
      <c r="G45" s="3" t="s">
        <v>674</v>
      </c>
      <c r="H45" s="3"/>
      <c r="I45" s="3"/>
    </row>
    <row r="46" customFormat="false" ht="41.75" hidden="false" customHeight="false" outlineLevel="0" collapsed="false">
      <c r="A46" s="3" t="n">
        <v>45</v>
      </c>
      <c r="B46" s="3" t="s">
        <v>115</v>
      </c>
      <c r="C46" s="3" t="s">
        <v>115</v>
      </c>
      <c r="D46" s="3" t="s">
        <v>665</v>
      </c>
      <c r="E46" s="3" t="s">
        <v>50</v>
      </c>
      <c r="F46" s="3" t="n">
        <v>7</v>
      </c>
      <c r="G46" s="3" t="s">
        <v>675</v>
      </c>
      <c r="H46" s="3" t="s">
        <v>676</v>
      </c>
      <c r="I46" s="3" t="s">
        <v>388</v>
      </c>
    </row>
    <row r="47" customFormat="false" ht="41.75" hidden="false" customHeight="false" outlineLevel="0" collapsed="false">
      <c r="A47" s="3" t="n">
        <v>46</v>
      </c>
      <c r="B47" s="3" t="s">
        <v>115</v>
      </c>
      <c r="C47" s="3" t="s">
        <v>115</v>
      </c>
      <c r="D47" s="3" t="s">
        <v>665</v>
      </c>
      <c r="E47" s="3" t="s">
        <v>50</v>
      </c>
      <c r="F47" s="3" t="n">
        <v>5</v>
      </c>
      <c r="G47" s="3" t="s">
        <v>677</v>
      </c>
      <c r="H47" s="3" t="s">
        <v>673</v>
      </c>
      <c r="I47" s="3" t="s">
        <v>562</v>
      </c>
    </row>
    <row r="48" customFormat="false" ht="15" hidden="false" customHeight="false" outlineLevel="0" collapsed="false">
      <c r="A48" s="3" t="n">
        <v>47</v>
      </c>
      <c r="B48" s="3" t="s">
        <v>121</v>
      </c>
      <c r="C48" s="3" t="s">
        <v>121</v>
      </c>
      <c r="D48" s="3" t="s">
        <v>665</v>
      </c>
      <c r="E48" s="3" t="s">
        <v>20</v>
      </c>
      <c r="F48" s="3" t="n">
        <v>7</v>
      </c>
      <c r="G48" s="3" t="s">
        <v>678</v>
      </c>
      <c r="H48" s="3"/>
      <c r="I48" s="3"/>
    </row>
    <row r="49" customFormat="false" ht="15" hidden="false" customHeight="false" outlineLevel="0" collapsed="false">
      <c r="A49" s="3" t="n">
        <v>48</v>
      </c>
      <c r="B49" s="3" t="s">
        <v>121</v>
      </c>
      <c r="C49" s="3" t="s">
        <v>121</v>
      </c>
      <c r="D49" s="3" t="s">
        <v>665</v>
      </c>
      <c r="E49" s="3" t="s">
        <v>20</v>
      </c>
      <c r="F49" s="3" t="n">
        <v>6</v>
      </c>
      <c r="G49" s="3" t="s">
        <v>679</v>
      </c>
      <c r="H49" s="3"/>
      <c r="I49" s="3"/>
    </row>
    <row r="50" customFormat="false" ht="15" hidden="false" customHeight="false" outlineLevel="0" collapsed="false">
      <c r="A50" s="3" t="n">
        <v>49</v>
      </c>
      <c r="B50" s="3" t="s">
        <v>127</v>
      </c>
      <c r="C50" s="3" t="s">
        <v>127</v>
      </c>
      <c r="D50" s="3" t="s">
        <v>665</v>
      </c>
      <c r="E50" s="3" t="s">
        <v>20</v>
      </c>
      <c r="F50" s="3" t="n">
        <v>5</v>
      </c>
      <c r="G50" s="3" t="s">
        <v>680</v>
      </c>
      <c r="H50" s="3"/>
      <c r="I50" s="3"/>
    </row>
    <row r="51" customFormat="false" ht="41.75" hidden="false" customHeight="false" outlineLevel="0" collapsed="false">
      <c r="A51" s="3" t="n">
        <v>50</v>
      </c>
      <c r="B51" s="3" t="s">
        <v>127</v>
      </c>
      <c r="C51" s="3" t="s">
        <v>127</v>
      </c>
      <c r="D51" s="3" t="s">
        <v>665</v>
      </c>
      <c r="E51" s="3" t="s">
        <v>50</v>
      </c>
      <c r="F51" s="3" t="n">
        <v>11</v>
      </c>
      <c r="G51" s="3" t="s">
        <v>681</v>
      </c>
      <c r="H51" s="3" t="s">
        <v>673</v>
      </c>
      <c r="I51" s="3" t="s">
        <v>562</v>
      </c>
    </row>
    <row r="52" customFormat="false" ht="15" hidden="false" customHeight="false" outlineLevel="0" collapsed="false">
      <c r="A52" s="3" t="n">
        <v>51</v>
      </c>
      <c r="B52" s="3" t="s">
        <v>133</v>
      </c>
      <c r="C52" s="3" t="s">
        <v>133</v>
      </c>
      <c r="D52" s="3" t="s">
        <v>665</v>
      </c>
      <c r="E52" s="3" t="s">
        <v>20</v>
      </c>
      <c r="F52" s="3" t="n">
        <v>8</v>
      </c>
      <c r="G52" s="3" t="s">
        <v>682</v>
      </c>
      <c r="H52" s="3"/>
      <c r="I52" s="3"/>
    </row>
    <row r="53" customFormat="false" ht="41.75" hidden="false" customHeight="false" outlineLevel="0" collapsed="false">
      <c r="A53" s="3" t="n">
        <v>52</v>
      </c>
      <c r="B53" s="3" t="s">
        <v>133</v>
      </c>
      <c r="C53" s="3" t="s">
        <v>133</v>
      </c>
      <c r="D53" s="3" t="s">
        <v>665</v>
      </c>
      <c r="E53" s="3" t="s">
        <v>50</v>
      </c>
      <c r="F53" s="3" t="n">
        <v>7</v>
      </c>
      <c r="G53" s="3" t="s">
        <v>683</v>
      </c>
      <c r="H53" s="3" t="s">
        <v>684</v>
      </c>
      <c r="I53" s="3" t="s">
        <v>562</v>
      </c>
    </row>
    <row r="54" customFormat="false" ht="15" hidden="false" customHeight="false" outlineLevel="0" collapsed="false">
      <c r="A54" s="3" t="n">
        <v>53</v>
      </c>
      <c r="B54" s="3" t="s">
        <v>685</v>
      </c>
      <c r="C54" s="3" t="s">
        <v>38</v>
      </c>
      <c r="D54" s="3" t="s">
        <v>665</v>
      </c>
      <c r="E54" s="3" t="s">
        <v>20</v>
      </c>
      <c r="F54" s="3" t="n">
        <v>7</v>
      </c>
      <c r="G54" s="3" t="s">
        <v>686</v>
      </c>
      <c r="H54" s="3"/>
      <c r="I54" s="3"/>
    </row>
    <row r="55" customFormat="false" ht="15" hidden="false" customHeight="false" outlineLevel="0" collapsed="false">
      <c r="A55" s="3" t="n">
        <v>54</v>
      </c>
      <c r="B55" s="3" t="s">
        <v>139</v>
      </c>
      <c r="C55" s="3" t="s">
        <v>139</v>
      </c>
      <c r="D55" s="3" t="s">
        <v>665</v>
      </c>
      <c r="E55" s="3" t="s">
        <v>20</v>
      </c>
      <c r="F55" s="3" t="n">
        <v>5</v>
      </c>
      <c r="G55" s="3" t="s">
        <v>687</v>
      </c>
      <c r="H55" s="3"/>
      <c r="I55" s="3"/>
    </row>
    <row r="56" customFormat="false" ht="28.35" hidden="false" customHeight="false" outlineLevel="0" collapsed="false">
      <c r="A56" s="3" t="n">
        <v>55</v>
      </c>
      <c r="B56" s="3" t="s">
        <v>145</v>
      </c>
      <c r="C56" s="3" t="s">
        <v>145</v>
      </c>
      <c r="D56" s="3" t="s">
        <v>665</v>
      </c>
      <c r="E56" s="3" t="s">
        <v>50</v>
      </c>
      <c r="F56" s="3" t="n">
        <v>6</v>
      </c>
      <c r="G56" s="3" t="s">
        <v>688</v>
      </c>
      <c r="H56" s="3" t="s">
        <v>689</v>
      </c>
      <c r="I56" s="3" t="s">
        <v>496</v>
      </c>
    </row>
    <row r="57" customFormat="false" ht="28.35" hidden="false" customHeight="false" outlineLevel="0" collapsed="false">
      <c r="A57" s="3" t="n">
        <v>56</v>
      </c>
      <c r="B57" s="3" t="s">
        <v>690</v>
      </c>
      <c r="C57" s="3" t="s">
        <v>38</v>
      </c>
      <c r="D57" s="3" t="s">
        <v>665</v>
      </c>
      <c r="E57" s="3" t="s">
        <v>50</v>
      </c>
      <c r="F57" s="3" t="n">
        <v>17</v>
      </c>
      <c r="G57" s="3" t="s">
        <v>691</v>
      </c>
      <c r="H57" s="3" t="s">
        <v>692</v>
      </c>
      <c r="I57" s="3" t="s">
        <v>408</v>
      </c>
    </row>
    <row r="58" customFormat="false" ht="28.35" hidden="false" customHeight="false" outlineLevel="0" collapsed="false">
      <c r="A58" s="3" t="n">
        <v>57</v>
      </c>
      <c r="B58" s="3" t="s">
        <v>151</v>
      </c>
      <c r="C58" s="3" t="s">
        <v>151</v>
      </c>
      <c r="D58" s="3" t="s">
        <v>665</v>
      </c>
      <c r="E58" s="3" t="s">
        <v>50</v>
      </c>
      <c r="F58" s="3" t="n">
        <v>2</v>
      </c>
      <c r="G58" s="3" t="s">
        <v>693</v>
      </c>
      <c r="H58" s="3" t="s">
        <v>694</v>
      </c>
      <c r="I58" s="3" t="s">
        <v>434</v>
      </c>
    </row>
    <row r="59" customFormat="false" ht="15" hidden="false" customHeight="false" outlineLevel="0" collapsed="false">
      <c r="A59" s="3" t="n">
        <v>58</v>
      </c>
      <c r="B59" s="3" t="s">
        <v>151</v>
      </c>
      <c r="C59" s="3" t="s">
        <v>151</v>
      </c>
      <c r="D59" s="3" t="s">
        <v>665</v>
      </c>
      <c r="E59" s="3" t="s">
        <v>20</v>
      </c>
      <c r="F59" s="3" t="n">
        <v>6</v>
      </c>
      <c r="G59" s="3" t="s">
        <v>695</v>
      </c>
      <c r="H59" s="3"/>
      <c r="I59" s="3"/>
    </row>
    <row r="60" customFormat="false" ht="15" hidden="false" customHeight="false" outlineLevel="0" collapsed="false">
      <c r="A60" s="3" t="n">
        <v>59</v>
      </c>
      <c r="B60" s="3" t="s">
        <v>157</v>
      </c>
      <c r="C60" s="3" t="s">
        <v>157</v>
      </c>
      <c r="D60" s="3" t="s">
        <v>665</v>
      </c>
      <c r="E60" s="3" t="s">
        <v>20</v>
      </c>
      <c r="F60" s="3" t="n">
        <v>3</v>
      </c>
      <c r="G60" s="3" t="s">
        <v>696</v>
      </c>
      <c r="H60" s="3"/>
      <c r="I60" s="3"/>
    </row>
    <row r="61" customFormat="false" ht="28.35" hidden="false" customHeight="false" outlineLevel="0" collapsed="false">
      <c r="A61" s="3" t="n">
        <v>60</v>
      </c>
      <c r="B61" s="3" t="s">
        <v>157</v>
      </c>
      <c r="C61" s="3" t="s">
        <v>157</v>
      </c>
      <c r="D61" s="3" t="s">
        <v>665</v>
      </c>
      <c r="E61" s="3" t="s">
        <v>50</v>
      </c>
      <c r="F61" s="3" t="n">
        <v>6</v>
      </c>
      <c r="G61" s="3" t="s">
        <v>697</v>
      </c>
      <c r="H61" s="3" t="s">
        <v>698</v>
      </c>
      <c r="I61" s="3" t="s">
        <v>415</v>
      </c>
    </row>
    <row r="62" customFormat="false" ht="15" hidden="false" customHeight="false" outlineLevel="0" collapsed="false">
      <c r="A62" s="3" t="n">
        <v>61</v>
      </c>
      <c r="B62" s="3" t="s">
        <v>699</v>
      </c>
      <c r="C62" s="3" t="s">
        <v>38</v>
      </c>
      <c r="D62" s="3" t="s">
        <v>665</v>
      </c>
      <c r="E62" s="3" t="s">
        <v>20</v>
      </c>
      <c r="F62" s="3" t="n">
        <v>3</v>
      </c>
      <c r="G62" s="3" t="s">
        <v>700</v>
      </c>
      <c r="H62" s="3"/>
      <c r="I62" s="3"/>
    </row>
    <row r="63" customFormat="false" ht="55.2" hidden="false" customHeight="false" outlineLevel="0" collapsed="false">
      <c r="A63" s="3" t="n">
        <v>62</v>
      </c>
      <c r="B63" s="3" t="s">
        <v>163</v>
      </c>
      <c r="C63" s="3" t="s">
        <v>163</v>
      </c>
      <c r="D63" s="3" t="s">
        <v>665</v>
      </c>
      <c r="E63" s="3" t="s">
        <v>50</v>
      </c>
      <c r="F63" s="3" t="n">
        <v>3</v>
      </c>
      <c r="G63" s="3" t="s">
        <v>701</v>
      </c>
      <c r="H63" s="3" t="s">
        <v>702</v>
      </c>
      <c r="I63" s="3" t="s">
        <v>415</v>
      </c>
    </row>
    <row r="64" customFormat="false" ht="28.35" hidden="false" customHeight="false" outlineLevel="0" collapsed="false">
      <c r="A64" s="3" t="n">
        <v>63</v>
      </c>
      <c r="B64" s="3" t="s">
        <v>163</v>
      </c>
      <c r="C64" s="3" t="s">
        <v>163</v>
      </c>
      <c r="D64" s="3" t="s">
        <v>665</v>
      </c>
      <c r="E64" s="3" t="s">
        <v>50</v>
      </c>
      <c r="F64" s="3" t="n">
        <v>6</v>
      </c>
      <c r="G64" s="3" t="s">
        <v>703</v>
      </c>
      <c r="H64" s="3" t="s">
        <v>704</v>
      </c>
      <c r="I64" s="3" t="s">
        <v>415</v>
      </c>
    </row>
    <row r="65" customFormat="false" ht="15" hidden="false" customHeight="false" outlineLevel="0" collapsed="false">
      <c r="A65" s="3" t="n">
        <v>64</v>
      </c>
      <c r="B65" s="3" t="s">
        <v>705</v>
      </c>
      <c r="C65" s="3" t="s">
        <v>38</v>
      </c>
      <c r="D65" s="3" t="s">
        <v>665</v>
      </c>
      <c r="E65" s="3" t="s">
        <v>20</v>
      </c>
      <c r="F65" s="3" t="n">
        <v>8</v>
      </c>
      <c r="G65" s="3" t="s">
        <v>706</v>
      </c>
      <c r="H65" s="3"/>
      <c r="I65" s="3"/>
    </row>
    <row r="66" customFormat="false" ht="28.35" hidden="false" customHeight="false" outlineLevel="0" collapsed="false">
      <c r="A66" s="3" t="n">
        <v>65</v>
      </c>
      <c r="B66" s="3" t="s">
        <v>707</v>
      </c>
      <c r="C66" s="3" t="s">
        <v>38</v>
      </c>
      <c r="D66" s="3" t="s">
        <v>665</v>
      </c>
      <c r="E66" s="3" t="s">
        <v>50</v>
      </c>
      <c r="F66" s="3" t="n">
        <v>4</v>
      </c>
      <c r="G66" s="3" t="s">
        <v>708</v>
      </c>
      <c r="H66" s="3" t="s">
        <v>709</v>
      </c>
      <c r="I66" s="3" t="s">
        <v>526</v>
      </c>
    </row>
    <row r="67" customFormat="false" ht="15" hidden="false" customHeight="false" outlineLevel="0" collapsed="false">
      <c r="A67" s="3" t="n">
        <v>66</v>
      </c>
      <c r="B67" s="3" t="s">
        <v>710</v>
      </c>
      <c r="C67" s="3" t="s">
        <v>38</v>
      </c>
      <c r="D67" s="3" t="s">
        <v>665</v>
      </c>
      <c r="E67" s="3" t="s">
        <v>20</v>
      </c>
      <c r="F67" s="3" t="n">
        <v>2</v>
      </c>
      <c r="G67" s="3" t="s">
        <v>711</v>
      </c>
      <c r="H67" s="3"/>
      <c r="I67" s="3"/>
    </row>
    <row r="68" customFormat="false" ht="41.75" hidden="false" customHeight="false" outlineLevel="0" collapsed="false">
      <c r="A68" s="3" t="n">
        <v>67</v>
      </c>
      <c r="B68" s="3" t="s">
        <v>712</v>
      </c>
      <c r="C68" s="3" t="s">
        <v>38</v>
      </c>
      <c r="D68" s="3" t="s">
        <v>665</v>
      </c>
      <c r="E68" s="3" t="s">
        <v>50</v>
      </c>
      <c r="F68" s="3" t="n">
        <v>3</v>
      </c>
      <c r="G68" s="3" t="s">
        <v>713</v>
      </c>
      <c r="H68" s="3" t="s">
        <v>714</v>
      </c>
      <c r="I68" s="3" t="s">
        <v>408</v>
      </c>
    </row>
    <row r="69" customFormat="false" ht="41.75" hidden="false" customHeight="false" outlineLevel="0" collapsed="false">
      <c r="A69" s="3" t="n">
        <v>68</v>
      </c>
      <c r="B69" s="3" t="s">
        <v>715</v>
      </c>
      <c r="C69" s="3" t="s">
        <v>38</v>
      </c>
      <c r="D69" s="3" t="s">
        <v>665</v>
      </c>
      <c r="E69" s="3" t="s">
        <v>50</v>
      </c>
      <c r="F69" s="3" t="n">
        <v>3</v>
      </c>
      <c r="G69" s="3" t="s">
        <v>716</v>
      </c>
      <c r="H69" s="3" t="s">
        <v>717</v>
      </c>
      <c r="I69" s="3" t="s">
        <v>408</v>
      </c>
    </row>
    <row r="70" customFormat="false" ht="15" hidden="false" customHeight="false" outlineLevel="0" collapsed="false">
      <c r="A70" s="3" t="n">
        <v>69</v>
      </c>
      <c r="B70" s="3" t="s">
        <v>718</v>
      </c>
      <c r="C70" s="3" t="s">
        <v>38</v>
      </c>
      <c r="D70" s="3" t="s">
        <v>665</v>
      </c>
      <c r="E70" s="3" t="s">
        <v>20</v>
      </c>
      <c r="F70" s="3" t="n">
        <v>3</v>
      </c>
      <c r="G70" s="3" t="s">
        <v>719</v>
      </c>
      <c r="H70" s="3"/>
      <c r="I70" s="3"/>
    </row>
    <row r="71" customFormat="false" ht="55.2" hidden="false" customHeight="false" outlineLevel="0" collapsed="false">
      <c r="A71" s="3" t="n">
        <v>70</v>
      </c>
      <c r="B71" s="3" t="s">
        <v>720</v>
      </c>
      <c r="C71" s="3" t="s">
        <v>38</v>
      </c>
      <c r="D71" s="3" t="s">
        <v>665</v>
      </c>
      <c r="E71" s="3" t="s">
        <v>50</v>
      </c>
      <c r="F71" s="3" t="n">
        <v>3</v>
      </c>
      <c r="G71" s="3" t="s">
        <v>721</v>
      </c>
      <c r="H71" s="3" t="s">
        <v>722</v>
      </c>
      <c r="I71" s="3" t="s">
        <v>395</v>
      </c>
    </row>
    <row r="72" customFormat="false" ht="28.35" hidden="false" customHeight="false" outlineLevel="0" collapsed="false">
      <c r="A72" s="3" t="n">
        <v>71</v>
      </c>
      <c r="B72" s="3" t="s">
        <v>723</v>
      </c>
      <c r="C72" s="3" t="s">
        <v>38</v>
      </c>
      <c r="D72" s="3" t="s">
        <v>665</v>
      </c>
      <c r="E72" s="3" t="s">
        <v>50</v>
      </c>
      <c r="F72" s="3" t="n">
        <v>3</v>
      </c>
      <c r="G72" s="3" t="s">
        <v>724</v>
      </c>
      <c r="H72" s="3" t="s">
        <v>725</v>
      </c>
      <c r="I72" s="3" t="s">
        <v>395</v>
      </c>
    </row>
    <row r="73" customFormat="false" ht="41.75" hidden="false" customHeight="false" outlineLevel="0" collapsed="false">
      <c r="A73" s="3" t="n">
        <v>72</v>
      </c>
      <c r="B73" s="3" t="s">
        <v>726</v>
      </c>
      <c r="C73" s="3" t="s">
        <v>38</v>
      </c>
      <c r="D73" s="3" t="s">
        <v>665</v>
      </c>
      <c r="E73" s="3" t="s">
        <v>50</v>
      </c>
      <c r="F73" s="3" t="n">
        <v>4</v>
      </c>
      <c r="G73" s="3" t="s">
        <v>727</v>
      </c>
      <c r="H73" s="3" t="s">
        <v>728</v>
      </c>
      <c r="I73" s="3" t="s">
        <v>395</v>
      </c>
    </row>
    <row r="74" customFormat="false" ht="15" hidden="false" customHeight="false" outlineLevel="0" collapsed="false">
      <c r="A74" s="3" t="n">
        <v>73</v>
      </c>
      <c r="B74" s="3" t="s">
        <v>729</v>
      </c>
      <c r="C74" s="3" t="s">
        <v>38</v>
      </c>
      <c r="D74" s="3" t="s">
        <v>665</v>
      </c>
      <c r="E74" s="3" t="s">
        <v>20</v>
      </c>
      <c r="F74" s="3" t="n">
        <v>5</v>
      </c>
      <c r="G74" s="3" t="s">
        <v>730</v>
      </c>
      <c r="H74" s="3"/>
      <c r="I74" s="3"/>
    </row>
    <row r="75" customFormat="false" ht="28.35" hidden="false" customHeight="false" outlineLevel="0" collapsed="false">
      <c r="A75" s="3" t="n">
        <v>74</v>
      </c>
      <c r="B75" s="3" t="s">
        <v>170</v>
      </c>
      <c r="C75" s="3" t="s">
        <v>170</v>
      </c>
      <c r="D75" s="3" t="s">
        <v>731</v>
      </c>
      <c r="E75" s="3" t="s">
        <v>20</v>
      </c>
      <c r="F75" s="3" t="n">
        <v>60</v>
      </c>
      <c r="G75" s="3" t="s">
        <v>732</v>
      </c>
      <c r="H75" s="3"/>
      <c r="I75" s="3"/>
    </row>
    <row r="76" customFormat="false" ht="15" hidden="false" customHeight="false" outlineLevel="0" collapsed="false">
      <c r="A76" s="3" t="n">
        <v>75</v>
      </c>
      <c r="B76" s="3" t="s">
        <v>178</v>
      </c>
      <c r="C76" s="3" t="s">
        <v>178</v>
      </c>
      <c r="D76" s="3" t="s">
        <v>731</v>
      </c>
      <c r="E76" s="3" t="s">
        <v>20</v>
      </c>
      <c r="F76" s="3" t="n">
        <v>3</v>
      </c>
      <c r="G76" s="3" t="s">
        <v>733</v>
      </c>
      <c r="H76" s="3"/>
      <c r="I76" s="3"/>
    </row>
    <row r="77" customFormat="false" ht="15" hidden="false" customHeight="false" outlineLevel="0" collapsed="false">
      <c r="A77" s="3" t="n">
        <v>76</v>
      </c>
      <c r="B77" s="3" t="s">
        <v>734</v>
      </c>
      <c r="C77" s="3" t="s">
        <v>38</v>
      </c>
      <c r="D77" s="3" t="s">
        <v>731</v>
      </c>
      <c r="E77" s="3" t="s">
        <v>20</v>
      </c>
      <c r="F77" s="3" t="n">
        <v>4</v>
      </c>
      <c r="G77" s="3" t="s">
        <v>735</v>
      </c>
      <c r="H77" s="3"/>
      <c r="I77" s="3"/>
    </row>
    <row r="78" customFormat="false" ht="15" hidden="false" customHeight="false" outlineLevel="0" collapsed="false">
      <c r="A78" s="3" t="n">
        <v>77</v>
      </c>
      <c r="B78" s="3" t="s">
        <v>184</v>
      </c>
      <c r="C78" s="3" t="s">
        <v>184</v>
      </c>
      <c r="D78" s="3" t="s">
        <v>731</v>
      </c>
      <c r="E78" s="3" t="s">
        <v>20</v>
      </c>
      <c r="F78" s="3" t="n">
        <v>4</v>
      </c>
      <c r="G78" s="3" t="s">
        <v>736</v>
      </c>
      <c r="H78" s="3"/>
      <c r="I78" s="3"/>
    </row>
    <row r="79" customFormat="false" ht="15" hidden="false" customHeight="false" outlineLevel="0" collapsed="false">
      <c r="A79" s="3" t="n">
        <v>78</v>
      </c>
      <c r="B79" s="3" t="s">
        <v>192</v>
      </c>
      <c r="C79" s="3" t="s">
        <v>192</v>
      </c>
      <c r="D79" s="3" t="s">
        <v>731</v>
      </c>
      <c r="E79" s="3" t="s">
        <v>20</v>
      </c>
      <c r="F79" s="3" t="n">
        <v>4</v>
      </c>
      <c r="G79" s="3" t="s">
        <v>737</v>
      </c>
      <c r="H79" s="3"/>
      <c r="I79" s="3"/>
    </row>
    <row r="80" customFormat="false" ht="28.35" hidden="false" customHeight="false" outlineLevel="0" collapsed="false">
      <c r="A80" s="3" t="n">
        <v>79</v>
      </c>
      <c r="B80" s="3" t="s">
        <v>198</v>
      </c>
      <c r="C80" s="3" t="s">
        <v>198</v>
      </c>
      <c r="D80" s="3" t="s">
        <v>731</v>
      </c>
      <c r="E80" s="3" t="s">
        <v>20</v>
      </c>
      <c r="F80" s="3" t="n">
        <v>9</v>
      </c>
      <c r="G80" s="3" t="s">
        <v>738</v>
      </c>
      <c r="H80" s="3"/>
      <c r="I80" s="3"/>
    </row>
    <row r="81" customFormat="false" ht="28.35" hidden="false" customHeight="false" outlineLevel="0" collapsed="false">
      <c r="A81" s="3" t="n">
        <v>80</v>
      </c>
      <c r="B81" s="3" t="s">
        <v>204</v>
      </c>
      <c r="C81" s="3" t="s">
        <v>204</v>
      </c>
      <c r="D81" s="3" t="s">
        <v>731</v>
      </c>
      <c r="E81" s="3" t="s">
        <v>50</v>
      </c>
      <c r="F81" s="3" t="n">
        <v>2</v>
      </c>
      <c r="G81" s="3" t="s">
        <v>739</v>
      </c>
      <c r="H81" s="3" t="s">
        <v>740</v>
      </c>
      <c r="I81" s="3" t="s">
        <v>489</v>
      </c>
    </row>
    <row r="82" customFormat="false" ht="15" hidden="false" customHeight="false" outlineLevel="0" collapsed="false">
      <c r="A82" s="3" t="n">
        <v>81</v>
      </c>
      <c r="B82" s="3" t="s">
        <v>209</v>
      </c>
      <c r="C82" s="3" t="s">
        <v>209</v>
      </c>
      <c r="D82" s="3" t="s">
        <v>731</v>
      </c>
      <c r="E82" s="3" t="s">
        <v>50</v>
      </c>
      <c r="F82" s="3" t="n">
        <v>11</v>
      </c>
      <c r="G82" s="3" t="s">
        <v>741</v>
      </c>
      <c r="H82" s="3" t="s">
        <v>742</v>
      </c>
      <c r="I82" s="3" t="s">
        <v>502</v>
      </c>
    </row>
    <row r="83" customFormat="false" ht="15" hidden="false" customHeight="false" outlineLevel="0" collapsed="false">
      <c r="A83" s="3" t="n">
        <v>82</v>
      </c>
      <c r="B83" s="3" t="s">
        <v>215</v>
      </c>
      <c r="C83" s="3" t="s">
        <v>215</v>
      </c>
      <c r="D83" s="3" t="s">
        <v>731</v>
      </c>
      <c r="E83" s="3" t="s">
        <v>20</v>
      </c>
      <c r="F83" s="3" t="n">
        <v>7</v>
      </c>
      <c r="G83" s="3" t="s">
        <v>743</v>
      </c>
      <c r="H83" s="3"/>
      <c r="I83" s="3"/>
    </row>
    <row r="84" customFormat="false" ht="15" hidden="false" customHeight="false" outlineLevel="0" collapsed="false">
      <c r="A84" s="3" t="n">
        <v>83</v>
      </c>
      <c r="B84" s="3" t="s">
        <v>744</v>
      </c>
      <c r="C84" s="3" t="s">
        <v>38</v>
      </c>
      <c r="D84" s="3" t="s">
        <v>731</v>
      </c>
      <c r="E84" s="3" t="s">
        <v>20</v>
      </c>
      <c r="F84" s="3" t="n">
        <v>5</v>
      </c>
      <c r="G84" s="3" t="s">
        <v>745</v>
      </c>
      <c r="H84" s="3"/>
      <c r="I84" s="3"/>
    </row>
    <row r="85" customFormat="false" ht="28.35" hidden="false" customHeight="false" outlineLevel="0" collapsed="false">
      <c r="A85" s="3" t="n">
        <v>84</v>
      </c>
      <c r="B85" s="3" t="s">
        <v>746</v>
      </c>
      <c r="C85" s="3" t="s">
        <v>38</v>
      </c>
      <c r="D85" s="3" t="s">
        <v>731</v>
      </c>
      <c r="E85" s="3" t="s">
        <v>20</v>
      </c>
      <c r="F85" s="3" t="n">
        <v>14</v>
      </c>
      <c r="G85" s="3" t="s">
        <v>747</v>
      </c>
      <c r="H85" s="3"/>
      <c r="I85" s="3"/>
    </row>
    <row r="86" customFormat="false" ht="28.35" hidden="false" customHeight="false" outlineLevel="0" collapsed="false">
      <c r="A86" s="3" t="n">
        <v>85</v>
      </c>
      <c r="B86" s="3" t="s">
        <v>222</v>
      </c>
      <c r="C86" s="3" t="s">
        <v>222</v>
      </c>
      <c r="D86" s="3" t="s">
        <v>731</v>
      </c>
      <c r="E86" s="3" t="s">
        <v>20</v>
      </c>
      <c r="F86" s="3" t="n">
        <v>9</v>
      </c>
      <c r="G86" s="3" t="s">
        <v>748</v>
      </c>
      <c r="H86" s="3"/>
      <c r="I86" s="3"/>
    </row>
    <row r="87" customFormat="false" ht="28.35" hidden="false" customHeight="false" outlineLevel="0" collapsed="false">
      <c r="A87" s="3" t="n">
        <v>86</v>
      </c>
      <c r="B87" s="3" t="s">
        <v>222</v>
      </c>
      <c r="C87" s="3" t="s">
        <v>222</v>
      </c>
      <c r="D87" s="3" t="s">
        <v>731</v>
      </c>
      <c r="E87" s="3" t="s">
        <v>50</v>
      </c>
      <c r="F87" s="3" t="n">
        <v>11</v>
      </c>
      <c r="G87" s="3" t="s">
        <v>749</v>
      </c>
      <c r="H87" s="3" t="s">
        <v>750</v>
      </c>
      <c r="I87" s="3" t="s">
        <v>514</v>
      </c>
    </row>
    <row r="88" customFormat="false" ht="28.35" hidden="false" customHeight="false" outlineLevel="0" collapsed="false">
      <c r="A88" s="3" t="n">
        <v>87</v>
      </c>
      <c r="B88" s="3" t="s">
        <v>222</v>
      </c>
      <c r="C88" s="3" t="s">
        <v>222</v>
      </c>
      <c r="D88" s="3" t="s">
        <v>731</v>
      </c>
      <c r="E88" s="3" t="s">
        <v>20</v>
      </c>
      <c r="F88" s="3" t="n">
        <v>7</v>
      </c>
      <c r="G88" s="3" t="s">
        <v>751</v>
      </c>
      <c r="H88" s="3"/>
      <c r="I88" s="3"/>
    </row>
    <row r="89" customFormat="false" ht="28.35" hidden="false" customHeight="false" outlineLevel="0" collapsed="false">
      <c r="A89" s="3" t="n">
        <v>88</v>
      </c>
      <c r="B89" s="3" t="s">
        <v>752</v>
      </c>
      <c r="C89" s="3" t="s">
        <v>38</v>
      </c>
      <c r="D89" s="3" t="s">
        <v>731</v>
      </c>
      <c r="E89" s="3" t="s">
        <v>20</v>
      </c>
      <c r="F89" s="3" t="n">
        <v>6</v>
      </c>
      <c r="G89" s="3" t="s">
        <v>753</v>
      </c>
      <c r="H89" s="3"/>
      <c r="I89" s="3"/>
    </row>
    <row r="90" customFormat="false" ht="28.35" hidden="false" customHeight="false" outlineLevel="0" collapsed="false">
      <c r="A90" s="3" t="n">
        <v>89</v>
      </c>
      <c r="B90" s="3" t="s">
        <v>754</v>
      </c>
      <c r="C90" s="3" t="s">
        <v>38</v>
      </c>
      <c r="D90" s="3" t="s">
        <v>731</v>
      </c>
      <c r="E90" s="3" t="s">
        <v>20</v>
      </c>
      <c r="F90" s="3" t="n">
        <v>4</v>
      </c>
      <c r="G90" s="3" t="s">
        <v>755</v>
      </c>
      <c r="H90" s="3"/>
      <c r="I90" s="3"/>
    </row>
    <row r="91" customFormat="false" ht="15" hidden="false" customHeight="false" outlineLevel="0" collapsed="false">
      <c r="A91" s="3" t="n">
        <v>90</v>
      </c>
      <c r="B91" s="3" t="s">
        <v>756</v>
      </c>
      <c r="C91" s="3" t="s">
        <v>38</v>
      </c>
      <c r="D91" s="3" t="s">
        <v>731</v>
      </c>
      <c r="E91" s="3" t="s">
        <v>20</v>
      </c>
      <c r="F91" s="3" t="n">
        <v>9</v>
      </c>
      <c r="G91" s="3" t="s">
        <v>757</v>
      </c>
      <c r="H91" s="3"/>
      <c r="I91" s="3"/>
    </row>
    <row r="92" customFormat="false" ht="41.75" hidden="false" customHeight="false" outlineLevel="0" collapsed="false">
      <c r="A92" s="3" t="n">
        <v>91</v>
      </c>
      <c r="B92" s="3" t="s">
        <v>758</v>
      </c>
      <c r="C92" s="3" t="s">
        <v>38</v>
      </c>
      <c r="D92" s="3" t="s">
        <v>731</v>
      </c>
      <c r="E92" s="3" t="s">
        <v>50</v>
      </c>
      <c r="F92" s="3" t="n">
        <v>5</v>
      </c>
      <c r="G92" s="3" t="s">
        <v>759</v>
      </c>
      <c r="H92" s="3" t="s">
        <v>673</v>
      </c>
      <c r="I92" s="3" t="s">
        <v>562</v>
      </c>
    </row>
    <row r="93" customFormat="false" ht="41.75" hidden="false" customHeight="false" outlineLevel="0" collapsed="false">
      <c r="A93" s="3" t="n">
        <v>92</v>
      </c>
      <c r="B93" s="3" t="s">
        <v>760</v>
      </c>
      <c r="C93" s="3" t="s">
        <v>38</v>
      </c>
      <c r="D93" s="3" t="s">
        <v>731</v>
      </c>
      <c r="E93" s="3" t="s">
        <v>50</v>
      </c>
      <c r="F93" s="3" t="n">
        <v>4</v>
      </c>
      <c r="G93" s="3" t="s">
        <v>761</v>
      </c>
      <c r="H93" s="3" t="s">
        <v>762</v>
      </c>
      <c r="I93" s="3" t="s">
        <v>562</v>
      </c>
    </row>
    <row r="94" customFormat="false" ht="15" hidden="false" customHeight="false" outlineLevel="0" collapsed="false">
      <c r="A94" s="3" t="n">
        <v>93</v>
      </c>
      <c r="B94" s="3" t="s">
        <v>763</v>
      </c>
      <c r="C94" s="3" t="s">
        <v>38</v>
      </c>
      <c r="D94" s="3" t="s">
        <v>731</v>
      </c>
      <c r="E94" s="3" t="s">
        <v>20</v>
      </c>
      <c r="F94" s="3" t="n">
        <v>4</v>
      </c>
      <c r="G94" s="3" t="s">
        <v>764</v>
      </c>
      <c r="H94" s="3"/>
      <c r="I94" s="3"/>
    </row>
    <row r="95" customFormat="false" ht="28.35" hidden="false" customHeight="false" outlineLevel="0" collapsed="false">
      <c r="A95" s="3" t="n">
        <v>94</v>
      </c>
      <c r="B95" s="3" t="s">
        <v>765</v>
      </c>
      <c r="C95" s="3" t="s">
        <v>38</v>
      </c>
      <c r="D95" s="3" t="s">
        <v>731</v>
      </c>
      <c r="E95" s="3" t="s">
        <v>20</v>
      </c>
      <c r="F95" s="3" t="n">
        <v>4</v>
      </c>
      <c r="G95" s="3" t="s">
        <v>766</v>
      </c>
      <c r="H95" s="3"/>
      <c r="I95" s="3"/>
    </row>
    <row r="96" customFormat="false" ht="28.35" hidden="false" customHeight="false" outlineLevel="0" collapsed="false">
      <c r="A96" s="3" t="n">
        <v>95</v>
      </c>
      <c r="B96" s="3" t="s">
        <v>767</v>
      </c>
      <c r="C96" s="3" t="s">
        <v>38</v>
      </c>
      <c r="D96" s="3" t="s">
        <v>731</v>
      </c>
      <c r="E96" s="3" t="s">
        <v>20</v>
      </c>
      <c r="F96" s="3" t="n">
        <v>3</v>
      </c>
      <c r="G96" s="3" t="s">
        <v>768</v>
      </c>
      <c r="H96" s="3"/>
      <c r="I96" s="3"/>
    </row>
    <row r="97" customFormat="false" ht="28.35" hidden="false" customHeight="false" outlineLevel="0" collapsed="false">
      <c r="A97" s="3" t="n">
        <v>96</v>
      </c>
      <c r="B97" s="3" t="s">
        <v>769</v>
      </c>
      <c r="C97" s="3" t="s">
        <v>38</v>
      </c>
      <c r="D97" s="3" t="s">
        <v>731</v>
      </c>
      <c r="E97" s="3" t="s">
        <v>20</v>
      </c>
      <c r="F97" s="3" t="n">
        <v>4</v>
      </c>
      <c r="G97" s="3" t="s">
        <v>770</v>
      </c>
      <c r="H97" s="3"/>
      <c r="I97" s="3"/>
    </row>
    <row r="98" customFormat="false" ht="28.35" hidden="false" customHeight="false" outlineLevel="0" collapsed="false">
      <c r="A98" s="3" t="n">
        <v>97</v>
      </c>
      <c r="B98" s="3" t="s">
        <v>771</v>
      </c>
      <c r="C98" s="3" t="s">
        <v>38</v>
      </c>
      <c r="D98" s="3" t="s">
        <v>731</v>
      </c>
      <c r="E98" s="3" t="s">
        <v>20</v>
      </c>
      <c r="F98" s="3" t="n">
        <v>6</v>
      </c>
      <c r="G98" s="3" t="s">
        <v>772</v>
      </c>
      <c r="H98" s="3"/>
      <c r="I98" s="3"/>
    </row>
    <row r="99" customFormat="false" ht="28.35" hidden="false" customHeight="false" outlineLevel="0" collapsed="false">
      <c r="A99" s="3" t="n">
        <v>98</v>
      </c>
      <c r="B99" s="3" t="s">
        <v>228</v>
      </c>
      <c r="C99" s="3" t="s">
        <v>228</v>
      </c>
      <c r="D99" s="3" t="s">
        <v>773</v>
      </c>
      <c r="E99" s="3" t="s">
        <v>20</v>
      </c>
      <c r="F99" s="3" t="n">
        <v>49</v>
      </c>
      <c r="G99" s="3" t="s">
        <v>774</v>
      </c>
      <c r="H99" s="3"/>
      <c r="I99" s="3"/>
    </row>
    <row r="100" customFormat="false" ht="28.35" hidden="false" customHeight="false" outlineLevel="0" collapsed="false">
      <c r="A100" s="3" t="n">
        <v>99</v>
      </c>
      <c r="B100" s="3" t="s">
        <v>237</v>
      </c>
      <c r="C100" s="3" t="s">
        <v>237</v>
      </c>
      <c r="D100" s="3" t="s">
        <v>773</v>
      </c>
      <c r="E100" s="3" t="s">
        <v>20</v>
      </c>
      <c r="F100" s="3" t="n">
        <v>14</v>
      </c>
      <c r="G100" s="3" t="s">
        <v>775</v>
      </c>
      <c r="H100" s="3"/>
      <c r="I100" s="3"/>
    </row>
    <row r="101" customFormat="false" ht="28.35" hidden="false" customHeight="false" outlineLevel="0" collapsed="false">
      <c r="A101" s="3" t="n">
        <v>100</v>
      </c>
      <c r="B101" s="3" t="s">
        <v>243</v>
      </c>
      <c r="C101" s="3" t="s">
        <v>243</v>
      </c>
      <c r="D101" s="3" t="s">
        <v>773</v>
      </c>
      <c r="E101" s="3" t="s">
        <v>20</v>
      </c>
      <c r="F101" s="3" t="n">
        <v>6</v>
      </c>
      <c r="G101" s="3" t="s">
        <v>776</v>
      </c>
      <c r="H101" s="3"/>
      <c r="I101" s="3"/>
    </row>
    <row r="102" customFormat="false" ht="95.5" hidden="false" customHeight="false" outlineLevel="0" collapsed="false">
      <c r="A102" s="3" t="n">
        <v>101</v>
      </c>
      <c r="B102" s="3" t="s">
        <v>777</v>
      </c>
      <c r="C102" s="3" t="s">
        <v>38</v>
      </c>
      <c r="D102" s="3" t="s">
        <v>773</v>
      </c>
      <c r="E102" s="3" t="s">
        <v>50</v>
      </c>
      <c r="F102" s="3" t="n">
        <v>14</v>
      </c>
      <c r="G102" s="3" t="s">
        <v>778</v>
      </c>
      <c r="H102" s="3" t="s">
        <v>779</v>
      </c>
      <c r="I102" s="3" t="s">
        <v>538</v>
      </c>
    </row>
    <row r="103" customFormat="false" ht="28.35" hidden="false" customHeight="false" outlineLevel="0" collapsed="false">
      <c r="A103" s="3" t="n">
        <v>102</v>
      </c>
      <c r="B103" s="3" t="s">
        <v>780</v>
      </c>
      <c r="C103" s="3" t="s">
        <v>38</v>
      </c>
      <c r="D103" s="3" t="s">
        <v>773</v>
      </c>
      <c r="E103" s="3" t="s">
        <v>50</v>
      </c>
      <c r="F103" s="3" t="n">
        <v>5</v>
      </c>
      <c r="G103" s="3" t="s">
        <v>781</v>
      </c>
      <c r="H103" s="3" t="s">
        <v>782</v>
      </c>
      <c r="I103" s="3" t="s">
        <v>446</v>
      </c>
    </row>
    <row r="104" customFormat="false" ht="41.75" hidden="false" customHeight="false" outlineLevel="0" collapsed="false">
      <c r="A104" s="3" t="n">
        <v>103</v>
      </c>
      <c r="B104" s="3" t="s">
        <v>783</v>
      </c>
      <c r="C104" s="3" t="s">
        <v>38</v>
      </c>
      <c r="D104" s="3" t="s">
        <v>773</v>
      </c>
      <c r="E104" s="3" t="s">
        <v>50</v>
      </c>
      <c r="F104" s="3" t="n">
        <v>5</v>
      </c>
      <c r="G104" s="3" t="s">
        <v>784</v>
      </c>
      <c r="H104" s="3" t="s">
        <v>785</v>
      </c>
      <c r="I104" s="3" t="s">
        <v>440</v>
      </c>
    </row>
    <row r="105" customFormat="false" ht="28.35" hidden="false" customHeight="false" outlineLevel="0" collapsed="false">
      <c r="A105" s="3" t="n">
        <v>104</v>
      </c>
      <c r="B105" s="3" t="s">
        <v>248</v>
      </c>
      <c r="C105" s="3" t="s">
        <v>248</v>
      </c>
      <c r="D105" s="3" t="s">
        <v>773</v>
      </c>
      <c r="E105" s="3" t="s">
        <v>20</v>
      </c>
      <c r="F105" s="3" t="n">
        <v>10</v>
      </c>
      <c r="G105" s="3" t="s">
        <v>786</v>
      </c>
      <c r="H105" s="3"/>
      <c r="I105" s="3"/>
    </row>
    <row r="106" customFormat="false" ht="28.35" hidden="false" customHeight="false" outlineLevel="0" collapsed="false">
      <c r="A106" s="3" t="n">
        <v>105</v>
      </c>
      <c r="B106" s="3" t="s">
        <v>255</v>
      </c>
      <c r="C106" s="3" t="s">
        <v>255</v>
      </c>
      <c r="D106" s="3" t="s">
        <v>773</v>
      </c>
      <c r="E106" s="3" t="s">
        <v>20</v>
      </c>
      <c r="F106" s="3" t="n">
        <v>5</v>
      </c>
      <c r="G106" s="3" t="s">
        <v>787</v>
      </c>
      <c r="H106" s="3"/>
      <c r="I106" s="3"/>
    </row>
    <row r="107" customFormat="false" ht="41.75" hidden="false" customHeight="false" outlineLevel="0" collapsed="false">
      <c r="A107" s="3" t="n">
        <v>106</v>
      </c>
      <c r="B107" s="3" t="s">
        <v>255</v>
      </c>
      <c r="C107" s="3" t="s">
        <v>255</v>
      </c>
      <c r="D107" s="3" t="s">
        <v>773</v>
      </c>
      <c r="E107" s="3" t="s">
        <v>50</v>
      </c>
      <c r="F107" s="3" t="n">
        <v>6</v>
      </c>
      <c r="G107" s="3" t="s">
        <v>788</v>
      </c>
      <c r="H107" s="3" t="s">
        <v>789</v>
      </c>
      <c r="I107" s="3" t="s">
        <v>440</v>
      </c>
    </row>
    <row r="108" customFormat="false" ht="55.2" hidden="false" customHeight="false" outlineLevel="0" collapsed="false">
      <c r="A108" s="3" t="n">
        <v>107</v>
      </c>
      <c r="B108" s="3" t="s">
        <v>790</v>
      </c>
      <c r="C108" s="3" t="s">
        <v>38</v>
      </c>
      <c r="D108" s="3" t="s">
        <v>773</v>
      </c>
      <c r="E108" s="3" t="s">
        <v>50</v>
      </c>
      <c r="F108" s="3" t="n">
        <v>7</v>
      </c>
      <c r="G108" s="3" t="s">
        <v>791</v>
      </c>
      <c r="H108" s="3" t="s">
        <v>792</v>
      </c>
      <c r="I108" s="3" t="s">
        <v>520</v>
      </c>
    </row>
    <row r="109" customFormat="false" ht="41.75" hidden="false" customHeight="false" outlineLevel="0" collapsed="false">
      <c r="A109" s="3" t="n">
        <v>108</v>
      </c>
      <c r="B109" s="3" t="s">
        <v>793</v>
      </c>
      <c r="C109" s="3" t="s">
        <v>38</v>
      </c>
      <c r="D109" s="3" t="s">
        <v>773</v>
      </c>
      <c r="E109" s="3" t="s">
        <v>50</v>
      </c>
      <c r="F109" s="3" t="n">
        <v>12</v>
      </c>
      <c r="G109" s="3" t="s">
        <v>794</v>
      </c>
      <c r="H109" s="3" t="s">
        <v>795</v>
      </c>
      <c r="I109" s="3" t="s">
        <v>520</v>
      </c>
    </row>
    <row r="110" customFormat="false" ht="15" hidden="false" customHeight="false" outlineLevel="0" collapsed="false">
      <c r="A110" s="3" t="n">
        <v>109</v>
      </c>
      <c r="B110" s="3" t="s">
        <v>796</v>
      </c>
      <c r="C110" s="3" t="s">
        <v>38</v>
      </c>
      <c r="D110" s="3" t="s">
        <v>773</v>
      </c>
      <c r="E110" s="3" t="s">
        <v>20</v>
      </c>
      <c r="F110" s="3" t="n">
        <v>5</v>
      </c>
      <c r="G110" s="3" t="s">
        <v>797</v>
      </c>
      <c r="H110" s="3"/>
      <c r="I110" s="3"/>
    </row>
    <row r="111" customFormat="false" ht="41.75" hidden="false" customHeight="false" outlineLevel="0" collapsed="false">
      <c r="A111" s="3" t="n">
        <v>110</v>
      </c>
      <c r="B111" s="3" t="s">
        <v>798</v>
      </c>
      <c r="C111" s="3" t="s">
        <v>38</v>
      </c>
      <c r="D111" s="3" t="s">
        <v>773</v>
      </c>
      <c r="E111" s="3" t="s">
        <v>50</v>
      </c>
      <c r="F111" s="3" t="n">
        <v>4</v>
      </c>
      <c r="G111" s="3" t="s">
        <v>799</v>
      </c>
      <c r="H111" s="3" t="s">
        <v>800</v>
      </c>
      <c r="I111" s="3" t="s">
        <v>520</v>
      </c>
    </row>
    <row r="112" customFormat="false" ht="55.2" hidden="false" customHeight="false" outlineLevel="0" collapsed="false">
      <c r="A112" s="3" t="n">
        <v>111</v>
      </c>
      <c r="B112" s="3" t="s">
        <v>260</v>
      </c>
      <c r="C112" s="3" t="s">
        <v>260</v>
      </c>
      <c r="D112" s="3" t="s">
        <v>773</v>
      </c>
      <c r="E112" s="3" t="s">
        <v>50</v>
      </c>
      <c r="F112" s="3" t="n">
        <v>7</v>
      </c>
      <c r="G112" s="3" t="s">
        <v>801</v>
      </c>
      <c r="H112" s="3" t="s">
        <v>802</v>
      </c>
      <c r="I112" s="3" t="s">
        <v>370</v>
      </c>
    </row>
    <row r="113" customFormat="false" ht="28.35" hidden="false" customHeight="false" outlineLevel="0" collapsed="false">
      <c r="A113" s="3" t="n">
        <v>112</v>
      </c>
      <c r="B113" s="3" t="s">
        <v>267</v>
      </c>
      <c r="C113" s="3" t="s">
        <v>267</v>
      </c>
      <c r="D113" s="3" t="s">
        <v>773</v>
      </c>
      <c r="E113" s="3" t="s">
        <v>50</v>
      </c>
      <c r="F113" s="3" t="n">
        <v>3</v>
      </c>
      <c r="G113" s="3" t="s">
        <v>803</v>
      </c>
      <c r="H113" s="3" t="s">
        <v>804</v>
      </c>
      <c r="I113" s="3" t="s">
        <v>452</v>
      </c>
    </row>
    <row r="114" customFormat="false" ht="41.75" hidden="false" customHeight="false" outlineLevel="0" collapsed="false">
      <c r="A114" s="3" t="n">
        <v>113</v>
      </c>
      <c r="B114" s="3" t="s">
        <v>267</v>
      </c>
      <c r="C114" s="3" t="s">
        <v>267</v>
      </c>
      <c r="D114" s="3" t="s">
        <v>773</v>
      </c>
      <c r="E114" s="3" t="s">
        <v>50</v>
      </c>
      <c r="F114" s="3" t="n">
        <v>6</v>
      </c>
      <c r="G114" s="3" t="s">
        <v>805</v>
      </c>
      <c r="H114" s="3" t="s">
        <v>806</v>
      </c>
      <c r="I114" s="3" t="s">
        <v>376</v>
      </c>
    </row>
    <row r="115" customFormat="false" ht="28.35" hidden="false" customHeight="false" outlineLevel="0" collapsed="false">
      <c r="A115" s="3" t="n">
        <v>114</v>
      </c>
      <c r="B115" s="3" t="s">
        <v>272</v>
      </c>
      <c r="C115" s="3" t="s">
        <v>272</v>
      </c>
      <c r="D115" s="3" t="s">
        <v>773</v>
      </c>
      <c r="E115" s="3" t="s">
        <v>50</v>
      </c>
      <c r="F115" s="3" t="n">
        <v>9</v>
      </c>
      <c r="G115" s="3" t="s">
        <v>807</v>
      </c>
      <c r="H115" s="3" t="s">
        <v>808</v>
      </c>
      <c r="I115" s="3" t="s">
        <v>458</v>
      </c>
    </row>
    <row r="116" customFormat="false" ht="15" hidden="false" customHeight="false" outlineLevel="0" collapsed="false">
      <c r="A116" s="3" t="n">
        <v>115</v>
      </c>
      <c r="B116" s="3" t="s">
        <v>280</v>
      </c>
      <c r="C116" s="3" t="s">
        <v>280</v>
      </c>
      <c r="D116" s="3" t="s">
        <v>773</v>
      </c>
      <c r="E116" s="3" t="s">
        <v>20</v>
      </c>
      <c r="F116" s="3" t="n">
        <v>10</v>
      </c>
      <c r="G116" s="3" t="s">
        <v>809</v>
      </c>
      <c r="H116" s="3"/>
      <c r="I116" s="3"/>
    </row>
    <row r="117" customFormat="false" ht="28.35" hidden="false" customHeight="false" outlineLevel="0" collapsed="false">
      <c r="A117" s="3" t="n">
        <v>116</v>
      </c>
      <c r="B117" s="3" t="s">
        <v>280</v>
      </c>
      <c r="C117" s="3" t="s">
        <v>280</v>
      </c>
      <c r="D117" s="3" t="s">
        <v>773</v>
      </c>
      <c r="E117" s="3" t="s">
        <v>50</v>
      </c>
      <c r="F117" s="3" t="n">
        <v>5</v>
      </c>
      <c r="G117" s="3" t="s">
        <v>810</v>
      </c>
      <c r="H117" s="3" t="s">
        <v>811</v>
      </c>
      <c r="I117" s="3" t="s">
        <v>464</v>
      </c>
    </row>
    <row r="118" customFormat="false" ht="15" hidden="false" customHeight="false" outlineLevel="0" collapsed="false">
      <c r="A118" s="3" t="n">
        <v>117</v>
      </c>
      <c r="B118" s="3" t="s">
        <v>286</v>
      </c>
      <c r="C118" s="3" t="s">
        <v>286</v>
      </c>
      <c r="D118" s="3" t="s">
        <v>773</v>
      </c>
      <c r="E118" s="3" t="s">
        <v>20</v>
      </c>
      <c r="F118" s="3" t="n">
        <v>3</v>
      </c>
      <c r="G118" s="3" t="s">
        <v>812</v>
      </c>
      <c r="H118" s="3"/>
      <c r="I118" s="3"/>
    </row>
    <row r="119" customFormat="false" ht="15" hidden="false" customHeight="false" outlineLevel="0" collapsed="false">
      <c r="A119" s="3" t="n">
        <v>118</v>
      </c>
      <c r="B119" s="3" t="s">
        <v>286</v>
      </c>
      <c r="C119" s="3" t="s">
        <v>286</v>
      </c>
      <c r="D119" s="3" t="s">
        <v>773</v>
      </c>
      <c r="E119" s="3" t="s">
        <v>50</v>
      </c>
      <c r="F119" s="3" t="n">
        <v>5</v>
      </c>
      <c r="G119" s="3" t="s">
        <v>813</v>
      </c>
      <c r="H119" s="3" t="s">
        <v>814</v>
      </c>
      <c r="I119" s="3" t="s">
        <v>464</v>
      </c>
    </row>
    <row r="120" customFormat="false" ht="15" hidden="false" customHeight="false" outlineLevel="0" collapsed="false">
      <c r="A120" s="3" t="n">
        <v>119</v>
      </c>
      <c r="B120" s="3" t="s">
        <v>292</v>
      </c>
      <c r="C120" s="3" t="s">
        <v>292</v>
      </c>
      <c r="D120" s="3" t="s">
        <v>773</v>
      </c>
      <c r="E120" s="3" t="s">
        <v>20</v>
      </c>
      <c r="F120" s="3" t="n">
        <v>3</v>
      </c>
      <c r="G120" s="3" t="s">
        <v>815</v>
      </c>
      <c r="H120" s="3"/>
      <c r="I120" s="3"/>
    </row>
    <row r="121" customFormat="false" ht="15" hidden="false" customHeight="false" outlineLevel="0" collapsed="false">
      <c r="A121" s="3" t="n">
        <v>120</v>
      </c>
      <c r="B121" s="3" t="s">
        <v>292</v>
      </c>
      <c r="C121" s="3" t="s">
        <v>292</v>
      </c>
      <c r="D121" s="3" t="s">
        <v>773</v>
      </c>
      <c r="E121" s="3" t="s">
        <v>50</v>
      </c>
      <c r="F121" s="3" t="n">
        <v>5</v>
      </c>
      <c r="G121" s="3" t="s">
        <v>816</v>
      </c>
      <c r="H121" s="3" t="s">
        <v>817</v>
      </c>
      <c r="I121" s="3" t="s">
        <v>401</v>
      </c>
    </row>
    <row r="122" customFormat="false" ht="41.75" hidden="false" customHeight="false" outlineLevel="0" collapsed="false">
      <c r="A122" s="3" t="n">
        <v>121</v>
      </c>
      <c r="B122" s="3" t="s">
        <v>818</v>
      </c>
      <c r="C122" s="3" t="s">
        <v>38</v>
      </c>
      <c r="D122" s="3" t="s">
        <v>773</v>
      </c>
      <c r="E122" s="3" t="s">
        <v>50</v>
      </c>
      <c r="F122" s="3" t="n">
        <v>4</v>
      </c>
      <c r="G122" s="3" t="s">
        <v>819</v>
      </c>
      <c r="H122" s="3" t="s">
        <v>820</v>
      </c>
      <c r="I122" s="3" t="s">
        <v>550</v>
      </c>
    </row>
    <row r="123" customFormat="false" ht="28.35" hidden="false" customHeight="false" outlineLevel="0" collapsed="false">
      <c r="A123" s="3" t="n">
        <v>122</v>
      </c>
      <c r="B123" s="3" t="s">
        <v>821</v>
      </c>
      <c r="C123" s="3" t="s">
        <v>38</v>
      </c>
      <c r="D123" s="3" t="s">
        <v>773</v>
      </c>
      <c r="E123" s="3" t="s">
        <v>20</v>
      </c>
      <c r="F123" s="3" t="n">
        <v>8</v>
      </c>
      <c r="G123" s="3" t="s">
        <v>822</v>
      </c>
      <c r="H123" s="3"/>
      <c r="I123" s="3"/>
    </row>
    <row r="124" customFormat="false" ht="15" hidden="false" customHeight="false" outlineLevel="0" collapsed="false">
      <c r="A124" s="3" t="n">
        <v>123</v>
      </c>
      <c r="B124" s="3" t="s">
        <v>823</v>
      </c>
      <c r="C124" s="3" t="s">
        <v>38</v>
      </c>
      <c r="D124" s="3" t="s">
        <v>773</v>
      </c>
      <c r="E124" s="3" t="s">
        <v>20</v>
      </c>
      <c r="F124" s="3" t="n">
        <v>3</v>
      </c>
      <c r="G124" s="3" t="s">
        <v>824</v>
      </c>
      <c r="H124" s="3"/>
      <c r="I124" s="3"/>
    </row>
    <row r="125" customFormat="false" ht="28.35" hidden="false" customHeight="false" outlineLevel="0" collapsed="false">
      <c r="A125" s="3" t="n">
        <v>124</v>
      </c>
      <c r="B125" s="3" t="s">
        <v>298</v>
      </c>
      <c r="C125" s="3" t="s">
        <v>298</v>
      </c>
      <c r="D125" s="3" t="s">
        <v>773</v>
      </c>
      <c r="E125" s="3" t="s">
        <v>50</v>
      </c>
      <c r="F125" s="3" t="n">
        <v>2</v>
      </c>
      <c r="G125" s="3" t="s">
        <v>825</v>
      </c>
      <c r="H125" s="3" t="s">
        <v>826</v>
      </c>
      <c r="I125" s="3" t="s">
        <v>508</v>
      </c>
    </row>
    <row r="126" customFormat="false" ht="15" hidden="false" customHeight="false" outlineLevel="0" collapsed="false">
      <c r="A126" s="3" t="n">
        <v>125</v>
      </c>
      <c r="B126" s="3" t="s">
        <v>827</v>
      </c>
      <c r="C126" s="3" t="s">
        <v>38</v>
      </c>
      <c r="D126" s="3" t="s">
        <v>773</v>
      </c>
      <c r="E126" s="3" t="s">
        <v>20</v>
      </c>
      <c r="F126" s="3" t="n">
        <v>6</v>
      </c>
      <c r="G126" s="3" t="s">
        <v>828</v>
      </c>
      <c r="H126" s="3"/>
      <c r="I126" s="3"/>
    </row>
    <row r="127" customFormat="false" ht="41.75" hidden="false" customHeight="false" outlineLevel="0" collapsed="false">
      <c r="A127" s="3" t="n">
        <v>126</v>
      </c>
      <c r="B127" s="3" t="s">
        <v>829</v>
      </c>
      <c r="C127" s="3" t="s">
        <v>38</v>
      </c>
      <c r="D127" s="3" t="s">
        <v>830</v>
      </c>
      <c r="E127" s="3" t="s">
        <v>50</v>
      </c>
      <c r="F127" s="3" t="n">
        <v>45</v>
      </c>
      <c r="G127" s="3" t="s">
        <v>831</v>
      </c>
      <c r="H127" s="3" t="s">
        <v>832</v>
      </c>
      <c r="I127" s="3" t="s">
        <v>363</v>
      </c>
    </row>
    <row r="128" customFormat="false" ht="41.75" hidden="false" customHeight="false" outlineLevel="0" collapsed="false">
      <c r="A128" s="3" t="n">
        <v>127</v>
      </c>
      <c r="B128" s="3" t="s">
        <v>833</v>
      </c>
      <c r="C128" s="3" t="s">
        <v>38</v>
      </c>
      <c r="D128" s="3" t="s">
        <v>830</v>
      </c>
      <c r="E128" s="3" t="s">
        <v>50</v>
      </c>
      <c r="F128" s="3" t="n">
        <v>12</v>
      </c>
      <c r="G128" s="3" t="s">
        <v>834</v>
      </c>
      <c r="H128" s="3" t="s">
        <v>832</v>
      </c>
      <c r="I128" s="3" t="s">
        <v>363</v>
      </c>
    </row>
    <row r="129" customFormat="false" ht="41.75" hidden="false" customHeight="false" outlineLevel="0" collapsed="false">
      <c r="A129" s="3" t="n">
        <v>128</v>
      </c>
      <c r="B129" s="3" t="s">
        <v>835</v>
      </c>
      <c r="C129" s="3" t="s">
        <v>38</v>
      </c>
      <c r="D129" s="3" t="s">
        <v>830</v>
      </c>
      <c r="E129" s="3" t="s">
        <v>50</v>
      </c>
      <c r="F129" s="3" t="n">
        <v>8</v>
      </c>
      <c r="G129" s="3" t="s">
        <v>836</v>
      </c>
      <c r="H129" s="3" t="s">
        <v>837</v>
      </c>
      <c r="I129" s="3" t="s">
        <v>363</v>
      </c>
    </row>
    <row r="130" customFormat="false" ht="41.75" hidden="false" customHeight="false" outlineLevel="0" collapsed="false">
      <c r="A130" s="3" t="n">
        <v>129</v>
      </c>
      <c r="B130" s="3" t="s">
        <v>838</v>
      </c>
      <c r="C130" s="3" t="s">
        <v>38</v>
      </c>
      <c r="D130" s="3" t="s">
        <v>830</v>
      </c>
      <c r="E130" s="3" t="s">
        <v>50</v>
      </c>
      <c r="F130" s="3" t="n">
        <v>11</v>
      </c>
      <c r="G130" s="3" t="s">
        <v>839</v>
      </c>
      <c r="H130" s="3" t="s">
        <v>832</v>
      </c>
      <c r="I130" s="3" t="s">
        <v>363</v>
      </c>
    </row>
    <row r="131" customFormat="false" ht="41.75" hidden="false" customHeight="false" outlineLevel="0" collapsed="false">
      <c r="A131" s="3" t="n">
        <v>130</v>
      </c>
      <c r="B131" s="3" t="s">
        <v>840</v>
      </c>
      <c r="C131" s="3" t="s">
        <v>38</v>
      </c>
      <c r="D131" s="3" t="s">
        <v>830</v>
      </c>
      <c r="E131" s="3" t="s">
        <v>50</v>
      </c>
      <c r="F131" s="3" t="n">
        <v>10</v>
      </c>
      <c r="G131" s="3" t="s">
        <v>841</v>
      </c>
      <c r="H131" s="3" t="s">
        <v>832</v>
      </c>
      <c r="I131" s="3" t="s">
        <v>363</v>
      </c>
    </row>
    <row r="132" customFormat="false" ht="41.75" hidden="false" customHeight="false" outlineLevel="0" collapsed="false">
      <c r="A132" s="3" t="n">
        <v>131</v>
      </c>
      <c r="B132" s="3" t="s">
        <v>842</v>
      </c>
      <c r="C132" s="3" t="s">
        <v>38</v>
      </c>
      <c r="D132" s="3" t="s">
        <v>830</v>
      </c>
      <c r="E132" s="3" t="s">
        <v>50</v>
      </c>
      <c r="F132" s="3" t="n">
        <v>7</v>
      </c>
      <c r="G132" s="3" t="s">
        <v>843</v>
      </c>
      <c r="H132" s="3" t="s">
        <v>832</v>
      </c>
      <c r="I132" s="3" t="s">
        <v>363</v>
      </c>
    </row>
    <row r="133" customFormat="false" ht="41.75" hidden="false" customHeight="false" outlineLevel="0" collapsed="false">
      <c r="A133" s="3" t="n">
        <v>132</v>
      </c>
      <c r="B133" s="3" t="s">
        <v>844</v>
      </c>
      <c r="C133" s="3" t="s">
        <v>38</v>
      </c>
      <c r="D133" s="3" t="s">
        <v>830</v>
      </c>
      <c r="E133" s="3" t="s">
        <v>50</v>
      </c>
      <c r="F133" s="3" t="n">
        <v>11</v>
      </c>
      <c r="G133" s="3" t="s">
        <v>845</v>
      </c>
      <c r="H133" s="3" t="s">
        <v>832</v>
      </c>
      <c r="I133" s="3" t="s">
        <v>363</v>
      </c>
    </row>
    <row r="134" customFormat="false" ht="41.75" hidden="false" customHeight="false" outlineLevel="0" collapsed="false">
      <c r="A134" s="3" t="n">
        <v>133</v>
      </c>
      <c r="B134" s="3" t="s">
        <v>846</v>
      </c>
      <c r="C134" s="3" t="s">
        <v>38</v>
      </c>
      <c r="D134" s="3" t="s">
        <v>830</v>
      </c>
      <c r="E134" s="3" t="s">
        <v>50</v>
      </c>
      <c r="F134" s="3" t="n">
        <v>20</v>
      </c>
      <c r="G134" s="3" t="s">
        <v>847</v>
      </c>
      <c r="H134" s="3" t="s">
        <v>832</v>
      </c>
      <c r="I134" s="3" t="s">
        <v>363</v>
      </c>
    </row>
    <row r="135" customFormat="false" ht="41.75" hidden="false" customHeight="false" outlineLevel="0" collapsed="false">
      <c r="A135" s="3" t="n">
        <v>134</v>
      </c>
      <c r="B135" s="3" t="s">
        <v>848</v>
      </c>
      <c r="C135" s="3" t="s">
        <v>38</v>
      </c>
      <c r="D135" s="3" t="s">
        <v>830</v>
      </c>
      <c r="E135" s="3" t="s">
        <v>50</v>
      </c>
      <c r="F135" s="3" t="n">
        <v>6</v>
      </c>
      <c r="G135" s="3" t="s">
        <v>849</v>
      </c>
      <c r="H135" s="3" t="s">
        <v>832</v>
      </c>
      <c r="I135" s="3" t="s">
        <v>363</v>
      </c>
    </row>
    <row r="136" customFormat="false" ht="41.75" hidden="false" customHeight="false" outlineLevel="0" collapsed="false">
      <c r="A136" s="3" t="n">
        <v>135</v>
      </c>
      <c r="B136" s="3" t="s">
        <v>850</v>
      </c>
      <c r="C136" s="3" t="s">
        <v>38</v>
      </c>
      <c r="D136" s="3" t="s">
        <v>830</v>
      </c>
      <c r="E136" s="3" t="s">
        <v>50</v>
      </c>
      <c r="F136" s="3" t="n">
        <v>8</v>
      </c>
      <c r="G136" s="3" t="s">
        <v>851</v>
      </c>
      <c r="H136" s="3" t="s">
        <v>832</v>
      </c>
      <c r="I136" s="3" t="s">
        <v>363</v>
      </c>
    </row>
    <row r="137" customFormat="false" ht="41.75" hidden="false" customHeight="false" outlineLevel="0" collapsed="false">
      <c r="A137" s="3" t="n">
        <v>136</v>
      </c>
      <c r="B137" s="3" t="s">
        <v>852</v>
      </c>
      <c r="C137" s="3" t="s">
        <v>38</v>
      </c>
      <c r="D137" s="3" t="s">
        <v>830</v>
      </c>
      <c r="E137" s="3" t="s">
        <v>50</v>
      </c>
      <c r="F137" s="3" t="n">
        <v>9</v>
      </c>
      <c r="G137" s="3" t="s">
        <v>853</v>
      </c>
      <c r="H137" s="3" t="s">
        <v>832</v>
      </c>
      <c r="I137" s="3" t="s">
        <v>363</v>
      </c>
    </row>
    <row r="138" customFormat="false" ht="41.75" hidden="false" customHeight="false" outlineLevel="0" collapsed="false">
      <c r="A138" s="3" t="n">
        <v>137</v>
      </c>
      <c r="B138" s="3" t="s">
        <v>854</v>
      </c>
      <c r="C138" s="3" t="s">
        <v>38</v>
      </c>
      <c r="D138" s="3" t="s">
        <v>830</v>
      </c>
      <c r="E138" s="3" t="s">
        <v>50</v>
      </c>
      <c r="F138" s="3" t="n">
        <v>6</v>
      </c>
      <c r="G138" s="3" t="s">
        <v>855</v>
      </c>
      <c r="H138" s="3" t="s">
        <v>832</v>
      </c>
      <c r="I138" s="3" t="s">
        <v>363</v>
      </c>
    </row>
    <row r="139" customFormat="false" ht="41.75" hidden="false" customHeight="false" outlineLevel="0" collapsed="false">
      <c r="A139" s="3" t="n">
        <v>138</v>
      </c>
      <c r="B139" s="3" t="s">
        <v>856</v>
      </c>
      <c r="C139" s="3" t="s">
        <v>38</v>
      </c>
      <c r="D139" s="3" t="s">
        <v>830</v>
      </c>
      <c r="E139" s="3" t="s">
        <v>50</v>
      </c>
      <c r="F139" s="3" t="n">
        <v>8</v>
      </c>
      <c r="G139" s="3" t="s">
        <v>857</v>
      </c>
      <c r="H139" s="3" t="s">
        <v>832</v>
      </c>
      <c r="I139" s="3" t="s">
        <v>363</v>
      </c>
    </row>
    <row r="140" customFormat="false" ht="41.75" hidden="false" customHeight="false" outlineLevel="0" collapsed="false">
      <c r="A140" s="3" t="n">
        <v>139</v>
      </c>
      <c r="B140" s="3" t="s">
        <v>858</v>
      </c>
      <c r="C140" s="3" t="s">
        <v>38</v>
      </c>
      <c r="D140" s="3" t="s">
        <v>830</v>
      </c>
      <c r="E140" s="3" t="s">
        <v>50</v>
      </c>
      <c r="F140" s="3" t="n">
        <v>7</v>
      </c>
      <c r="G140" s="3" t="s">
        <v>859</v>
      </c>
      <c r="H140" s="3" t="s">
        <v>832</v>
      </c>
      <c r="I140" s="3" t="s">
        <v>363</v>
      </c>
    </row>
    <row r="141" customFormat="false" ht="41.75" hidden="false" customHeight="false" outlineLevel="0" collapsed="false">
      <c r="A141" s="3" t="n">
        <v>140</v>
      </c>
      <c r="B141" s="3" t="s">
        <v>860</v>
      </c>
      <c r="C141" s="3" t="s">
        <v>38</v>
      </c>
      <c r="D141" s="3" t="s">
        <v>830</v>
      </c>
      <c r="E141" s="3" t="s">
        <v>50</v>
      </c>
      <c r="F141" s="3" t="n">
        <v>8</v>
      </c>
      <c r="G141" s="3" t="s">
        <v>861</v>
      </c>
      <c r="H141" s="3" t="s">
        <v>832</v>
      </c>
      <c r="I141" s="3" t="s">
        <v>363</v>
      </c>
    </row>
    <row r="142" customFormat="false" ht="41.75" hidden="false" customHeight="false" outlineLevel="0" collapsed="false">
      <c r="A142" s="3" t="n">
        <v>141</v>
      </c>
      <c r="B142" s="3" t="s">
        <v>862</v>
      </c>
      <c r="C142" s="3" t="s">
        <v>38</v>
      </c>
      <c r="D142" s="3" t="s">
        <v>830</v>
      </c>
      <c r="E142" s="3" t="s">
        <v>50</v>
      </c>
      <c r="F142" s="3" t="n">
        <v>6</v>
      </c>
      <c r="G142" s="3" t="s">
        <v>863</v>
      </c>
      <c r="H142" s="3" t="s">
        <v>864</v>
      </c>
      <c r="I142" s="3" t="s">
        <v>376</v>
      </c>
    </row>
    <row r="143" customFormat="false" ht="41.75" hidden="false" customHeight="false" outlineLevel="0" collapsed="false">
      <c r="A143" s="3" t="n">
        <v>142</v>
      </c>
      <c r="B143" s="3" t="s">
        <v>865</v>
      </c>
      <c r="C143" s="3" t="s">
        <v>38</v>
      </c>
      <c r="D143" s="3" t="s">
        <v>830</v>
      </c>
      <c r="E143" s="3" t="s">
        <v>50</v>
      </c>
      <c r="F143" s="3" t="n">
        <v>3</v>
      </c>
      <c r="G143" s="3" t="s">
        <v>866</v>
      </c>
      <c r="H143" s="3" t="s">
        <v>867</v>
      </c>
      <c r="I143" s="3" t="s">
        <v>376</v>
      </c>
    </row>
    <row r="144" customFormat="false" ht="28.35" hidden="false" customHeight="false" outlineLevel="0" collapsed="false">
      <c r="A144" s="3" t="n">
        <v>143</v>
      </c>
      <c r="B144" s="3" t="s">
        <v>868</v>
      </c>
      <c r="C144" s="3" t="s">
        <v>38</v>
      </c>
      <c r="D144" s="3" t="s">
        <v>830</v>
      </c>
      <c r="E144" s="3" t="s">
        <v>50</v>
      </c>
      <c r="F144" s="3" t="n">
        <v>8</v>
      </c>
      <c r="G144" s="3" t="s">
        <v>869</v>
      </c>
      <c r="H144" s="3" t="s">
        <v>870</v>
      </c>
      <c r="I144" s="3" t="s">
        <v>376</v>
      </c>
    </row>
    <row r="145" customFormat="false" ht="55.2" hidden="false" customHeight="false" outlineLevel="0" collapsed="false">
      <c r="A145" s="3" t="n">
        <v>144</v>
      </c>
      <c r="B145" s="3" t="s">
        <v>871</v>
      </c>
      <c r="C145" s="3" t="s">
        <v>38</v>
      </c>
      <c r="D145" s="3" t="s">
        <v>830</v>
      </c>
      <c r="E145" s="3" t="s">
        <v>50</v>
      </c>
      <c r="F145" s="3" t="n">
        <v>4</v>
      </c>
      <c r="G145" s="3" t="s">
        <v>872</v>
      </c>
      <c r="H145" s="3" t="s">
        <v>873</v>
      </c>
      <c r="I145" s="3" t="s">
        <v>376</v>
      </c>
    </row>
    <row r="146" customFormat="false" ht="41.75" hidden="false" customHeight="false" outlineLevel="0" collapsed="false">
      <c r="A146" s="3" t="n">
        <v>145</v>
      </c>
      <c r="B146" s="3" t="s">
        <v>874</v>
      </c>
      <c r="C146" s="3" t="s">
        <v>38</v>
      </c>
      <c r="D146" s="3" t="s">
        <v>830</v>
      </c>
      <c r="E146" s="3" t="s">
        <v>50</v>
      </c>
      <c r="F146" s="3" t="n">
        <v>3</v>
      </c>
      <c r="G146" s="3" t="s">
        <v>875</v>
      </c>
      <c r="H146" s="3" t="s">
        <v>876</v>
      </c>
      <c r="I146" s="3" t="s">
        <v>370</v>
      </c>
    </row>
    <row r="147" customFormat="false" ht="41.75" hidden="false" customHeight="false" outlineLevel="0" collapsed="false">
      <c r="A147" s="3" t="n">
        <v>146</v>
      </c>
      <c r="B147" s="3" t="s">
        <v>877</v>
      </c>
      <c r="C147" s="3" t="s">
        <v>38</v>
      </c>
      <c r="D147" s="3" t="s">
        <v>830</v>
      </c>
      <c r="E147" s="3" t="s">
        <v>50</v>
      </c>
      <c r="F147" s="3" t="n">
        <v>3</v>
      </c>
      <c r="G147" s="3" t="s">
        <v>878</v>
      </c>
      <c r="H147" s="3" t="s">
        <v>879</v>
      </c>
      <c r="I147" s="3" t="s">
        <v>370</v>
      </c>
    </row>
    <row r="148" customFormat="false" ht="28.35" hidden="false" customHeight="false" outlineLevel="0" collapsed="false">
      <c r="A148" s="3" t="n">
        <v>147</v>
      </c>
      <c r="B148" s="3" t="s">
        <v>880</v>
      </c>
      <c r="C148" s="3" t="s">
        <v>38</v>
      </c>
      <c r="D148" s="3" t="s">
        <v>830</v>
      </c>
      <c r="E148" s="3" t="s">
        <v>50</v>
      </c>
      <c r="F148" s="3" t="n">
        <v>4</v>
      </c>
      <c r="G148" s="3" t="s">
        <v>881</v>
      </c>
      <c r="H148" s="3" t="s">
        <v>882</v>
      </c>
      <c r="I148" s="3" t="s">
        <v>370</v>
      </c>
    </row>
    <row r="149" customFormat="false" ht="55.2" hidden="false" customHeight="false" outlineLevel="0" collapsed="false">
      <c r="A149" s="3" t="n">
        <v>148</v>
      </c>
      <c r="B149" s="3" t="s">
        <v>883</v>
      </c>
      <c r="C149" s="3" t="s">
        <v>38</v>
      </c>
      <c r="D149" s="3" t="s">
        <v>830</v>
      </c>
      <c r="E149" s="3" t="s">
        <v>50</v>
      </c>
      <c r="F149" s="3" t="n">
        <v>4</v>
      </c>
      <c r="G149" s="3" t="s">
        <v>884</v>
      </c>
      <c r="H149" s="3" t="s">
        <v>885</v>
      </c>
      <c r="I149" s="3" t="s">
        <v>370</v>
      </c>
    </row>
    <row r="150" customFormat="false" ht="95.5" hidden="false" customHeight="false" outlineLevel="0" collapsed="false">
      <c r="A150" s="3" t="n">
        <v>149</v>
      </c>
      <c r="B150" s="3" t="s">
        <v>886</v>
      </c>
      <c r="C150" s="3" t="s">
        <v>38</v>
      </c>
      <c r="D150" s="3" t="s">
        <v>830</v>
      </c>
      <c r="E150" s="3" t="s">
        <v>50</v>
      </c>
      <c r="F150" s="3" t="n">
        <v>8</v>
      </c>
      <c r="G150" s="3" t="s">
        <v>887</v>
      </c>
      <c r="H150" s="3" t="s">
        <v>888</v>
      </c>
      <c r="I150" s="3" t="s">
        <v>538</v>
      </c>
    </row>
    <row r="151" customFormat="false" ht="28.35" hidden="false" customHeight="false" outlineLevel="0" collapsed="false">
      <c r="A151" s="3" t="n">
        <v>150</v>
      </c>
      <c r="B151" s="3" t="s">
        <v>889</v>
      </c>
      <c r="C151" s="3" t="s">
        <v>38</v>
      </c>
      <c r="D151" s="3" t="s">
        <v>890</v>
      </c>
      <c r="E151" s="3" t="s">
        <v>50</v>
      </c>
      <c r="F151" s="3" t="n">
        <v>12</v>
      </c>
      <c r="G151" s="3" t="s">
        <v>891</v>
      </c>
      <c r="H151" s="3" t="s">
        <v>892</v>
      </c>
      <c r="I151" s="3" t="s">
        <v>483</v>
      </c>
    </row>
    <row r="152" customFormat="false" ht="41.75" hidden="false" customHeight="false" outlineLevel="0" collapsed="false">
      <c r="A152" s="3" t="n">
        <v>151</v>
      </c>
      <c r="B152" s="3" t="s">
        <v>893</v>
      </c>
      <c r="C152" s="3" t="s">
        <v>38</v>
      </c>
      <c r="D152" s="3" t="s">
        <v>890</v>
      </c>
      <c r="E152" s="3" t="s">
        <v>50</v>
      </c>
      <c r="F152" s="3" t="n">
        <v>1</v>
      </c>
      <c r="G152" s="3" t="s">
        <v>894</v>
      </c>
      <c r="H152" s="3" t="s">
        <v>895</v>
      </c>
      <c r="I152" s="3" t="s">
        <v>477</v>
      </c>
    </row>
    <row r="153" customFormat="false" ht="28.35" hidden="false" customHeight="false" outlineLevel="0" collapsed="false">
      <c r="A153" s="3" t="n">
        <v>152</v>
      </c>
      <c r="B153" s="3" t="s">
        <v>896</v>
      </c>
      <c r="C153" s="3" t="s">
        <v>38</v>
      </c>
      <c r="D153" s="3" t="s">
        <v>890</v>
      </c>
      <c r="E153" s="3" t="s">
        <v>20</v>
      </c>
      <c r="F153" s="3" t="n">
        <v>88</v>
      </c>
      <c r="G153" s="3" t="s">
        <v>897</v>
      </c>
      <c r="H153" s="3"/>
      <c r="I153" s="3"/>
    </row>
    <row r="154" customFormat="false" ht="41.75" hidden="false" customHeight="false" outlineLevel="0" collapsed="false">
      <c r="A154" s="3" t="n">
        <v>153</v>
      </c>
      <c r="B154" s="3" t="s">
        <v>898</v>
      </c>
      <c r="C154" s="3" t="s">
        <v>38</v>
      </c>
      <c r="D154" s="3" t="s">
        <v>890</v>
      </c>
      <c r="E154" s="3" t="s">
        <v>50</v>
      </c>
      <c r="F154" s="3" t="n">
        <v>4</v>
      </c>
      <c r="G154" s="3" t="s">
        <v>899</v>
      </c>
      <c r="H154" s="3" t="s">
        <v>900</v>
      </c>
      <c r="I154" s="3" t="s">
        <v>556</v>
      </c>
    </row>
    <row r="155" customFormat="false" ht="28.35" hidden="false" customHeight="false" outlineLevel="0" collapsed="false">
      <c r="A155" s="3" t="n">
        <v>154</v>
      </c>
      <c r="B155" s="3" t="s">
        <v>901</v>
      </c>
      <c r="C155" s="3" t="s">
        <v>38</v>
      </c>
      <c r="D155" s="3" t="s">
        <v>902</v>
      </c>
      <c r="E155" s="3" t="s">
        <v>20</v>
      </c>
      <c r="F155" s="3" t="n">
        <v>50</v>
      </c>
      <c r="G155" s="3" t="s">
        <v>903</v>
      </c>
      <c r="H155" s="3"/>
      <c r="I155" s="3"/>
    </row>
    <row r="156" customFormat="false" ht="15" hidden="false" customHeight="false" outlineLevel="0" collapsed="false">
      <c r="A156" s="3" t="n">
        <v>155</v>
      </c>
      <c r="B156" s="3" t="s">
        <v>904</v>
      </c>
      <c r="C156" s="3" t="s">
        <v>38</v>
      </c>
      <c r="D156" s="3" t="s">
        <v>902</v>
      </c>
      <c r="E156" s="3" t="s">
        <v>20</v>
      </c>
      <c r="F156" s="3" t="n">
        <v>12</v>
      </c>
      <c r="G156" s="3" t="s">
        <v>905</v>
      </c>
      <c r="H156" s="3"/>
      <c r="I156" s="3"/>
    </row>
    <row r="157" customFormat="false" ht="15" hidden="false" customHeight="false" outlineLevel="0" collapsed="false">
      <c r="A157" s="3" t="n">
        <v>156</v>
      </c>
      <c r="B157" s="3" t="s">
        <v>906</v>
      </c>
      <c r="C157" s="3" t="s">
        <v>38</v>
      </c>
      <c r="D157" s="3" t="s">
        <v>902</v>
      </c>
      <c r="E157" s="3" t="s">
        <v>20</v>
      </c>
      <c r="F157" s="3" t="n">
        <v>6</v>
      </c>
      <c r="G157" s="3" t="s">
        <v>907</v>
      </c>
      <c r="H157" s="3"/>
      <c r="I157" s="3"/>
    </row>
    <row r="158" customFormat="false" ht="55.2" hidden="false" customHeight="false" outlineLevel="0" collapsed="false">
      <c r="A158" s="3" t="n">
        <v>157</v>
      </c>
      <c r="B158" s="3" t="s">
        <v>908</v>
      </c>
      <c r="C158" s="3" t="s">
        <v>38</v>
      </c>
      <c r="D158" s="3" t="s">
        <v>902</v>
      </c>
      <c r="E158" s="3" t="s">
        <v>50</v>
      </c>
      <c r="F158" s="3" t="n">
        <v>9</v>
      </c>
      <c r="G158" s="3" t="s">
        <v>909</v>
      </c>
      <c r="H158" s="3" t="s">
        <v>910</v>
      </c>
      <c r="I158" s="3" t="s">
        <v>471</v>
      </c>
    </row>
    <row r="159" customFormat="false" ht="15" hidden="false" customHeight="false" outlineLevel="0" collapsed="false">
      <c r="A159" s="3" t="n">
        <v>158</v>
      </c>
      <c r="B159" s="3" t="s">
        <v>911</v>
      </c>
      <c r="C159" s="3" t="s">
        <v>38</v>
      </c>
      <c r="D159" s="3" t="s">
        <v>902</v>
      </c>
      <c r="E159" s="3" t="s">
        <v>20</v>
      </c>
      <c r="F159" s="3" t="n">
        <v>16</v>
      </c>
      <c r="G159" s="3" t="s">
        <v>912</v>
      </c>
      <c r="H159" s="3"/>
      <c r="I159" s="3"/>
    </row>
    <row r="160" customFormat="false" ht="55.2" hidden="false" customHeight="false" outlineLevel="0" collapsed="false">
      <c r="A160" s="3" t="n">
        <v>159</v>
      </c>
      <c r="B160" s="3" t="s">
        <v>913</v>
      </c>
      <c r="C160" s="3" t="s">
        <v>38</v>
      </c>
      <c r="D160" s="3" t="s">
        <v>902</v>
      </c>
      <c r="E160" s="3" t="s">
        <v>50</v>
      </c>
      <c r="F160" s="3" t="n">
        <v>13</v>
      </c>
      <c r="G160" s="3" t="s">
        <v>914</v>
      </c>
      <c r="H160" s="3" t="s">
        <v>915</v>
      </c>
      <c r="I160" s="3" t="s">
        <v>569</v>
      </c>
    </row>
  </sheetData>
  <autoFilter ref="A1:I160"/>
  <conditionalFormatting sqref="E2:E160">
    <cfRule type="cellIs" priority="2" operator="equal" aboveAverage="0" equalAverage="0" bottom="0" percent="0" rank="0" text="" dxfId="8">
      <formula>"Đạt"</formula>
    </cfRule>
    <cfRule type="cellIs" priority="3" operator="equal" aboveAverage="0" equalAverage="0" bottom="0" percent="0" rank="0" text="" dxfId="9">
      <formula>"Không đạt"</formula>
    </cfRule>
    <cfRule type="cellIs" priority="4" operator="equal" aboveAverage="0" equalAverage="0" bottom="0" percent="0" rank="0" text="" dxfId="10">
      <formula>"Chặn"</formula>
    </cfRule>
    <cfRule type="cellIs" priority="5" operator="equal" aboveAverage="0" equalAverage="0" bottom="0" percent="0" rank="0" text="" dxfId="11">
      <formula>"Chưa chạy"</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2026-10-14T10:01:10Z</dcterms:created>
  <dc:creator>openpyxl</dc:creator>
  <dc:description/>
  <dc:language>en-US</dc:language>
  <cp:lastModifiedBy/>
  <dcterms:modified xsi:type="dcterms:W3CDTF">2026-10-28T15:07:27Z</dcterms:modified>
  <cp:revision>0</cp:revision>
  <dc:subject/>
  <dc:title>Báo cáo kết quả kiểm thử YouTube Xu</dc:title>
</cp:coreProperties>
</file>

<file path=docProps/custom.xml><?xml version="1.0" encoding="utf-8"?>
<Properties xmlns="http://schemas.openxmlformats.org/officeDocument/2006/custom-properties" xmlns:vt="http://schemas.openxmlformats.org/officeDocument/2006/docPropsVTypes"/>
</file>